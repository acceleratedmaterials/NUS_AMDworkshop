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2330" tabRatio="809" activeTab="7"/>
  </bookViews>
  <sheets>
    <sheet name="original" sheetId="1" r:id="rId1"/>
    <sheet name="jiali" sheetId="22" r:id="rId2"/>
    <sheet name="Selectors" sheetId="26" r:id="rId3"/>
    <sheet name="Master" sheetId="21" r:id="rId4"/>
    <sheet name="Master (2)" sheetId="27" r:id="rId5"/>
    <sheet name="Discrete data" sheetId="19" r:id="rId6"/>
    <sheet name="df" sheetId="24" r:id="rId7"/>
    <sheet name="features_c" sheetId="2" r:id="rId8"/>
    <sheet name="features_d" sheetId="25" r:id="rId9"/>
    <sheet name="labels" sheetId="4" r:id="rId10"/>
    <sheet name="features_c (2)" sheetId="29" r:id="rId11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5" i="27" l="1"/>
  <c r="F55" i="27" s="1"/>
  <c r="Y55" i="27"/>
  <c r="E55" i="27" s="1"/>
  <c r="G55" i="27"/>
  <c r="Z54" i="27"/>
  <c r="F54" i="27" s="1"/>
  <c r="Y54" i="27"/>
  <c r="E54" i="27" s="1"/>
  <c r="G54" i="27"/>
  <c r="Z53" i="27"/>
  <c r="Y53" i="27"/>
  <c r="E53" i="27" s="1"/>
  <c r="G53" i="27"/>
  <c r="F53" i="27"/>
  <c r="Z52" i="27"/>
  <c r="F52" i="27" s="1"/>
  <c r="Y52" i="27"/>
  <c r="E52" i="27" s="1"/>
  <c r="G52" i="27"/>
  <c r="Z51" i="27"/>
  <c r="Y51" i="27"/>
  <c r="E51" i="27" s="1"/>
  <c r="G51" i="27"/>
  <c r="F51" i="27"/>
  <c r="G50" i="27"/>
  <c r="F50" i="27"/>
  <c r="E50" i="27"/>
  <c r="G49" i="27"/>
  <c r="F49" i="27"/>
  <c r="E49" i="27"/>
  <c r="G48" i="27"/>
  <c r="F48" i="27"/>
  <c r="E48" i="27"/>
  <c r="G47" i="27"/>
  <c r="F47" i="27"/>
  <c r="E47" i="27"/>
  <c r="G46" i="27"/>
  <c r="F46" i="27"/>
  <c r="E46" i="27"/>
  <c r="G45" i="27"/>
  <c r="F45" i="27"/>
  <c r="E45" i="27"/>
  <c r="G44" i="27"/>
  <c r="F44" i="27"/>
  <c r="E44" i="27"/>
  <c r="G43" i="27"/>
  <c r="F43" i="27"/>
  <c r="E43" i="27"/>
  <c r="G42" i="27"/>
  <c r="F42" i="27"/>
  <c r="E42" i="27"/>
  <c r="G41" i="27"/>
  <c r="F41" i="27"/>
  <c r="E41" i="27"/>
  <c r="G40" i="27"/>
  <c r="F40" i="27"/>
  <c r="E40" i="27"/>
  <c r="G39" i="27"/>
  <c r="F39" i="27"/>
  <c r="E39" i="27"/>
  <c r="G38" i="27"/>
  <c r="F38" i="27"/>
  <c r="E38" i="27"/>
  <c r="G37" i="27"/>
  <c r="F37" i="27"/>
  <c r="E37" i="27"/>
  <c r="G36" i="27"/>
  <c r="F36" i="27"/>
  <c r="E36" i="27"/>
  <c r="G35" i="27"/>
  <c r="F35" i="27"/>
  <c r="E35" i="27"/>
  <c r="G34" i="27"/>
  <c r="F34" i="27"/>
  <c r="E34" i="27"/>
  <c r="F33" i="27"/>
  <c r="E33" i="27"/>
  <c r="G31" i="27"/>
  <c r="F31" i="27"/>
  <c r="E31" i="27"/>
  <c r="G30" i="27"/>
  <c r="F30" i="27"/>
  <c r="E30" i="27"/>
  <c r="G29" i="27"/>
  <c r="F29" i="27"/>
  <c r="E29" i="27"/>
  <c r="Z28" i="27"/>
  <c r="Y28" i="27"/>
  <c r="E28" i="27" s="1"/>
  <c r="X28" i="27"/>
  <c r="V28" i="27"/>
  <c r="I28" i="27"/>
  <c r="H28" i="27"/>
  <c r="Z27" i="27"/>
  <c r="Y27" i="27"/>
  <c r="X27" i="27"/>
  <c r="G27" i="27" s="1"/>
  <c r="V27" i="27"/>
  <c r="I27" i="27"/>
  <c r="H27" i="27"/>
  <c r="Z26" i="27"/>
  <c r="Y26" i="27"/>
  <c r="X26" i="27"/>
  <c r="V26" i="27"/>
  <c r="I26" i="27"/>
  <c r="H26" i="27"/>
  <c r="Z25" i="27"/>
  <c r="Y25" i="27"/>
  <c r="X25" i="27"/>
  <c r="V25" i="27"/>
  <c r="I25" i="27"/>
  <c r="H25" i="27"/>
  <c r="Z24" i="27"/>
  <c r="Y24" i="27"/>
  <c r="X24" i="27"/>
  <c r="V24" i="27"/>
  <c r="I24" i="27"/>
  <c r="H24" i="27"/>
  <c r="Z23" i="27"/>
  <c r="Y23" i="27"/>
  <c r="X23" i="27"/>
  <c r="V23" i="27"/>
  <c r="I23" i="27"/>
  <c r="H23" i="27"/>
  <c r="Z22" i="27"/>
  <c r="Y22" i="27"/>
  <c r="X22" i="27"/>
  <c r="V22" i="27"/>
  <c r="I22" i="27"/>
  <c r="H22" i="27"/>
  <c r="Z21" i="27"/>
  <c r="Y21" i="27"/>
  <c r="X21" i="27"/>
  <c r="V21" i="27"/>
  <c r="I21" i="27"/>
  <c r="H21" i="27"/>
  <c r="Z20" i="27"/>
  <c r="Y20" i="27"/>
  <c r="X20" i="27"/>
  <c r="V20" i="27"/>
  <c r="I20" i="27"/>
  <c r="H20" i="27"/>
  <c r="Z19" i="27"/>
  <c r="F19" i="27" s="1"/>
  <c r="Y19" i="27"/>
  <c r="X19" i="27"/>
  <c r="V19" i="27"/>
  <c r="I19" i="27"/>
  <c r="H19" i="27"/>
  <c r="Z18" i="27"/>
  <c r="Y18" i="27"/>
  <c r="E18" i="27" s="1"/>
  <c r="X18" i="27"/>
  <c r="V18" i="27"/>
  <c r="I18" i="27"/>
  <c r="H18" i="27"/>
  <c r="Z17" i="27"/>
  <c r="Y17" i="27"/>
  <c r="X17" i="27"/>
  <c r="V17" i="27"/>
  <c r="I17" i="27"/>
  <c r="H17" i="27"/>
  <c r="Z16" i="27"/>
  <c r="Y16" i="27"/>
  <c r="X16" i="27"/>
  <c r="V16" i="27"/>
  <c r="I16" i="27"/>
  <c r="H16" i="27"/>
  <c r="E16" i="27"/>
  <c r="Z15" i="27"/>
  <c r="Y15" i="27"/>
  <c r="X15" i="27"/>
  <c r="V15" i="27"/>
  <c r="I15" i="27"/>
  <c r="H15" i="27"/>
  <c r="Z14" i="27"/>
  <c r="Y14" i="27"/>
  <c r="E14" i="27" s="1"/>
  <c r="X14" i="27"/>
  <c r="V14" i="27"/>
  <c r="I14" i="27"/>
  <c r="H14" i="27"/>
  <c r="Z13" i="27"/>
  <c r="Y13" i="27"/>
  <c r="X13" i="27"/>
  <c r="V13" i="27"/>
  <c r="G13" i="27" s="1"/>
  <c r="I13" i="27"/>
  <c r="H13" i="27"/>
  <c r="Z12" i="27"/>
  <c r="Y12" i="27"/>
  <c r="X12" i="27"/>
  <c r="V12" i="27"/>
  <c r="I12" i="27"/>
  <c r="H12" i="27"/>
  <c r="Z11" i="27"/>
  <c r="Y11" i="27"/>
  <c r="X11" i="27"/>
  <c r="V11" i="27"/>
  <c r="I11" i="27"/>
  <c r="H11" i="27"/>
  <c r="Z10" i="27"/>
  <c r="Y10" i="27"/>
  <c r="E10" i="27" s="1"/>
  <c r="X10" i="27"/>
  <c r="V10" i="27"/>
  <c r="I10" i="27"/>
  <c r="H10" i="27"/>
  <c r="Z9" i="27"/>
  <c r="Y9" i="27"/>
  <c r="X9" i="27"/>
  <c r="V9" i="27"/>
  <c r="I9" i="27"/>
  <c r="H9" i="27"/>
  <c r="Z8" i="27"/>
  <c r="Y8" i="27"/>
  <c r="X8" i="27"/>
  <c r="V8" i="27"/>
  <c r="I8" i="27"/>
  <c r="H8" i="27"/>
  <c r="Z7" i="27"/>
  <c r="Y7" i="27"/>
  <c r="X7" i="27"/>
  <c r="V7" i="27"/>
  <c r="I7" i="27"/>
  <c r="H7" i="27"/>
  <c r="Z6" i="27"/>
  <c r="Y6" i="27"/>
  <c r="E6" i="27" s="1"/>
  <c r="X6" i="27"/>
  <c r="V6" i="27"/>
  <c r="I6" i="27"/>
  <c r="H6" i="27"/>
  <c r="Z5" i="27"/>
  <c r="Y5" i="27"/>
  <c r="X5" i="27"/>
  <c r="V5" i="27"/>
  <c r="I5" i="27"/>
  <c r="H5" i="27"/>
  <c r="Z4" i="27"/>
  <c r="Y4" i="27"/>
  <c r="X4" i="27"/>
  <c r="V4" i="27"/>
  <c r="I4" i="27"/>
  <c r="H4" i="27"/>
  <c r="Z3" i="27"/>
  <c r="Y3" i="27"/>
  <c r="X3" i="27"/>
  <c r="V3" i="27"/>
  <c r="I3" i="27"/>
  <c r="H3" i="27"/>
  <c r="Z2" i="27"/>
  <c r="Y2" i="27"/>
  <c r="E2" i="27" s="1"/>
  <c r="X2" i="27"/>
  <c r="G2" i="27" s="1"/>
  <c r="V2" i="27"/>
  <c r="I2" i="27"/>
  <c r="H2" i="27"/>
  <c r="E26" i="27" l="1"/>
  <c r="G17" i="27"/>
  <c r="G25" i="27"/>
  <c r="E8" i="27"/>
  <c r="G15" i="27"/>
  <c r="E20" i="27"/>
  <c r="F23" i="27"/>
  <c r="F16" i="27"/>
  <c r="F2" i="27"/>
  <c r="E27" i="27"/>
  <c r="E4" i="27"/>
  <c r="E22" i="27"/>
  <c r="G4" i="27"/>
  <c r="G20" i="27"/>
  <c r="G24" i="27"/>
  <c r="E24" i="27"/>
  <c r="G6" i="27"/>
  <c r="G10" i="27"/>
  <c r="G14" i="27"/>
  <c r="G18" i="27"/>
  <c r="F27" i="27"/>
  <c r="F3" i="27"/>
  <c r="E21" i="27"/>
  <c r="F26" i="27"/>
  <c r="G5" i="27"/>
  <c r="F11" i="27"/>
  <c r="F21" i="27"/>
  <c r="G9" i="27"/>
  <c r="F10" i="27"/>
  <c r="F17" i="27"/>
  <c r="E19" i="27"/>
  <c r="G23" i="27"/>
  <c r="G28" i="27"/>
  <c r="E9" i="27"/>
  <c r="E12" i="27"/>
  <c r="E23" i="27"/>
  <c r="G3" i="27"/>
  <c r="G12" i="27"/>
  <c r="G26" i="27"/>
  <c r="F28" i="27"/>
  <c r="E5" i="27"/>
  <c r="F6" i="27"/>
  <c r="F9" i="27"/>
  <c r="G11" i="27"/>
  <c r="E13" i="27"/>
  <c r="F14" i="27"/>
  <c r="G21" i="27"/>
  <c r="G22" i="27"/>
  <c r="E3" i="27"/>
  <c r="E11" i="27"/>
  <c r="G19" i="27"/>
  <c r="F12" i="27"/>
  <c r="F22" i="27"/>
  <c r="F4" i="27"/>
  <c r="F5" i="27"/>
  <c r="G8" i="27"/>
  <c r="G7" i="27"/>
  <c r="G16" i="27"/>
  <c r="F18" i="27"/>
  <c r="F20" i="27"/>
  <c r="F24" i="27"/>
  <c r="F7" i="27"/>
  <c r="F13" i="27"/>
  <c r="E7" i="27"/>
  <c r="F8" i="27"/>
  <c r="E15" i="27"/>
  <c r="F15" i="27"/>
  <c r="E17" i="27"/>
  <c r="E25" i="27"/>
  <c r="F25" i="27"/>
  <c r="G58" i="21" l="1"/>
  <c r="G59" i="21"/>
  <c r="G60" i="21"/>
  <c r="G61" i="21"/>
  <c r="G62" i="21"/>
  <c r="Y59" i="21"/>
  <c r="E59" i="21" s="1"/>
  <c r="Z59" i="21"/>
  <c r="F59" i="21" s="1"/>
  <c r="Y60" i="21"/>
  <c r="E60" i="21" s="1"/>
  <c r="Z60" i="21"/>
  <c r="F60" i="21" s="1"/>
  <c r="Y61" i="21"/>
  <c r="E61" i="21" s="1"/>
  <c r="Z61" i="21"/>
  <c r="F61" i="21" s="1"/>
  <c r="Y62" i="21"/>
  <c r="E62" i="21" s="1"/>
  <c r="Z62" i="21"/>
  <c r="F62" i="21" s="1"/>
  <c r="Z58" i="21"/>
  <c r="F58" i="21" s="1"/>
  <c r="Y58" i="21"/>
  <c r="E58" i="21" s="1"/>
  <c r="G30" i="21" l="1"/>
  <c r="X2" i="21"/>
  <c r="F33" i="21" l="1"/>
  <c r="E33" i="21"/>
  <c r="G43" i="21"/>
  <c r="F43" i="21"/>
  <c r="E43" i="21"/>
  <c r="G42" i="21"/>
  <c r="F42" i="21"/>
  <c r="E42" i="21"/>
  <c r="G57" i="21"/>
  <c r="F57" i="21"/>
  <c r="E57" i="21"/>
  <c r="G48" i="21"/>
  <c r="F48" i="21"/>
  <c r="E48" i="21"/>
  <c r="G49" i="21"/>
  <c r="F49" i="21"/>
  <c r="E49" i="21"/>
  <c r="E51" i="21"/>
  <c r="F51" i="21"/>
  <c r="G51" i="21"/>
  <c r="E52" i="21"/>
  <c r="F52" i="21"/>
  <c r="G52" i="21"/>
  <c r="E53" i="21"/>
  <c r="F53" i="21"/>
  <c r="G53" i="21"/>
  <c r="E54" i="21"/>
  <c r="F54" i="21"/>
  <c r="G54" i="21"/>
  <c r="E55" i="21"/>
  <c r="F55" i="21"/>
  <c r="G55" i="21"/>
  <c r="E56" i="21"/>
  <c r="F56" i="21"/>
  <c r="G56" i="21"/>
  <c r="G50" i="21"/>
  <c r="F50" i="21"/>
  <c r="E50" i="21"/>
  <c r="E38" i="21"/>
  <c r="F38" i="21"/>
  <c r="G38" i="21"/>
  <c r="E39" i="21"/>
  <c r="F39" i="21"/>
  <c r="G39" i="21"/>
  <c r="G37" i="21"/>
  <c r="F37" i="21"/>
  <c r="E37" i="21"/>
  <c r="G36" i="21"/>
  <c r="F36" i="21"/>
  <c r="E36" i="21"/>
  <c r="G34" i="21"/>
  <c r="F34" i="21"/>
  <c r="E34" i="21"/>
  <c r="E30" i="21"/>
  <c r="F30" i="21"/>
  <c r="E31" i="21"/>
  <c r="F31" i="21"/>
  <c r="G31" i="21"/>
  <c r="G29" i="21"/>
  <c r="F29" i="21"/>
  <c r="E29" i="21"/>
  <c r="I3" i="21" l="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" i="21"/>
  <c r="X28" i="21"/>
  <c r="X3" i="21"/>
  <c r="X4" i="21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Z3" i="21"/>
  <c r="Z4" i="21"/>
  <c r="Z5" i="21"/>
  <c r="Z6" i="21"/>
  <c r="Z7" i="21"/>
  <c r="Z8" i="21"/>
  <c r="Z9" i="21"/>
  <c r="Z10" i="21"/>
  <c r="Z11" i="21"/>
  <c r="Z12" i="21"/>
  <c r="Z13" i="21"/>
  <c r="Z14" i="21"/>
  <c r="Z15" i="21"/>
  <c r="Z16" i="21"/>
  <c r="Z17" i="21"/>
  <c r="Z18" i="21"/>
  <c r="Z19" i="21"/>
  <c r="Z20" i="21"/>
  <c r="Z21" i="21"/>
  <c r="Z22" i="21"/>
  <c r="Z23" i="21"/>
  <c r="Z24" i="21"/>
  <c r="Z25" i="21"/>
  <c r="Z26" i="21"/>
  <c r="Z27" i="21"/>
  <c r="Z28" i="21"/>
  <c r="Z2" i="21"/>
  <c r="Y3" i="21"/>
  <c r="Y4" i="21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" i="21"/>
  <c r="V3" i="21"/>
  <c r="V4" i="21"/>
  <c r="V5" i="21"/>
  <c r="V6" i="21"/>
  <c r="V7" i="2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" i="21"/>
  <c r="G2" i="21" s="1"/>
  <c r="E2" i="21" l="1"/>
  <c r="F23" i="21"/>
  <c r="F15" i="21"/>
  <c r="F7" i="21"/>
  <c r="E22" i="21"/>
  <c r="E14" i="21"/>
  <c r="E6" i="21"/>
  <c r="F25" i="21"/>
  <c r="F17" i="21"/>
  <c r="F9" i="21"/>
  <c r="E28" i="21"/>
  <c r="E20" i="21"/>
  <c r="E12" i="21"/>
  <c r="E4" i="21"/>
  <c r="E21" i="21"/>
  <c r="E13" i="21"/>
  <c r="E5" i="21"/>
  <c r="G28" i="21"/>
  <c r="F22" i="21"/>
  <c r="F14" i="21"/>
  <c r="F6" i="21"/>
  <c r="G11" i="21"/>
  <c r="G3" i="21"/>
  <c r="F24" i="21"/>
  <c r="F16" i="21"/>
  <c r="F8" i="21"/>
  <c r="G26" i="21"/>
  <c r="G18" i="21"/>
  <c r="G10" i="21"/>
  <c r="G9" i="21"/>
  <c r="E19" i="21"/>
  <c r="G24" i="21"/>
  <c r="G16" i="21"/>
  <c r="G8" i="21"/>
  <c r="E26" i="21"/>
  <c r="E10" i="21"/>
  <c r="F13" i="21"/>
  <c r="G23" i="21"/>
  <c r="G7" i="21"/>
  <c r="E18" i="21"/>
  <c r="F2" i="21"/>
  <c r="F21" i="21"/>
  <c r="F5" i="21"/>
  <c r="G15" i="21"/>
  <c r="E25" i="21"/>
  <c r="E17" i="21"/>
  <c r="E9" i="21"/>
  <c r="F28" i="21"/>
  <c r="F20" i="21"/>
  <c r="F12" i="21"/>
  <c r="F4" i="21"/>
  <c r="G22" i="21"/>
  <c r="G14" i="21"/>
  <c r="G6" i="21"/>
  <c r="G19" i="21"/>
  <c r="G17" i="21"/>
  <c r="E27" i="21"/>
  <c r="E3" i="21"/>
  <c r="E16" i="21"/>
  <c r="F27" i="21"/>
  <c r="F3" i="21"/>
  <c r="G13" i="21"/>
  <c r="G27" i="21"/>
  <c r="G25" i="21"/>
  <c r="E11" i="21"/>
  <c r="E24" i="21"/>
  <c r="E8" i="21"/>
  <c r="F19" i="21"/>
  <c r="F11" i="21"/>
  <c r="G21" i="21"/>
  <c r="G5" i="21"/>
  <c r="E23" i="21"/>
  <c r="E15" i="21"/>
  <c r="E7" i="21"/>
  <c r="F26" i="21"/>
  <c r="F18" i="21"/>
  <c r="F10" i="21"/>
  <c r="G20" i="21"/>
  <c r="G12" i="21"/>
  <c r="G4" i="2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" i="1"/>
  <c r="W27" i="1"/>
  <c r="W28" i="1"/>
  <c r="W20" i="1"/>
  <c r="W21" i="1"/>
  <c r="W22" i="1"/>
  <c r="W23" i="1"/>
  <c r="W24" i="1"/>
  <c r="W25" i="1"/>
  <c r="W26" i="1"/>
  <c r="W9" i="1"/>
  <c r="W10" i="1"/>
  <c r="W7" i="1"/>
  <c r="W8" i="1"/>
  <c r="W11" i="1"/>
  <c r="W12" i="1"/>
  <c r="W13" i="1"/>
  <c r="W14" i="1"/>
  <c r="W15" i="1"/>
  <c r="W16" i="1"/>
  <c r="W17" i="1"/>
  <c r="W18" i="1"/>
  <c r="W19" i="1"/>
  <c r="W3" i="1"/>
  <c r="W4" i="1"/>
  <c r="W5" i="1"/>
  <c r="W6" i="1"/>
  <c r="W2" i="1"/>
</calcChain>
</file>

<file path=xl/sharedStrings.xml><?xml version="1.0" encoding="utf-8"?>
<sst xmlns="http://schemas.openxmlformats.org/spreadsheetml/2006/main" count="1443" uniqueCount="342">
  <si>
    <t>Ligand Type</t>
  </si>
  <si>
    <t>pH</t>
  </si>
  <si>
    <t>Reducing Agent</t>
  </si>
  <si>
    <t>Temp</t>
  </si>
  <si>
    <t>Peak</t>
  </si>
  <si>
    <t>Valley</t>
  </si>
  <si>
    <t>Peak/Valley</t>
  </si>
  <si>
    <t>MHA</t>
  </si>
  <si>
    <t>Remarks</t>
  </si>
  <si>
    <t>Ligand Conc/mM</t>
  </si>
  <si>
    <t>Ligand Vol/mL</t>
  </si>
  <si>
    <t>HAuCl4 Conc/mM</t>
  </si>
  <si>
    <t>HAuCl4 Conc/mL</t>
  </si>
  <si>
    <t>RA conc/mM</t>
  </si>
  <si>
    <t>RA vol/mL</t>
  </si>
  <si>
    <t>Reaction time/h</t>
  </si>
  <si>
    <t>Solvent</t>
  </si>
  <si>
    <t>Solvent Vol/mL</t>
  </si>
  <si>
    <t>Water</t>
  </si>
  <si>
    <t>NaBH4</t>
  </si>
  <si>
    <t>NaOH conc (in reducing agent)/mM</t>
  </si>
  <si>
    <t>Pure Au25</t>
  </si>
  <si>
    <t>p-MBA</t>
  </si>
  <si>
    <t>m-MBA</t>
  </si>
  <si>
    <t>Ligand Mol/umol</t>
  </si>
  <si>
    <t>HAuCl4 Mol/umol</t>
  </si>
  <si>
    <t>RA mol/umol</t>
  </si>
  <si>
    <t>Ligand</t>
  </si>
  <si>
    <t>mMBA</t>
  </si>
  <si>
    <t>pMBA</t>
  </si>
  <si>
    <t>phenylethane thiol</t>
  </si>
  <si>
    <t>Captoprilz(C9H15NO3S)(217.29)</t>
  </si>
  <si>
    <t>PPh3 (262.29)</t>
  </si>
  <si>
    <t>3-MBA</t>
  </si>
  <si>
    <t>MPA</t>
  </si>
  <si>
    <t>Cys</t>
  </si>
  <si>
    <t>Hcys</t>
  </si>
  <si>
    <t>MUA</t>
  </si>
  <si>
    <t>GSH</t>
  </si>
  <si>
    <t>PET</t>
  </si>
  <si>
    <t>cyclohexanethiol</t>
    <phoneticPr fontId="0" type="noConversion"/>
  </si>
  <si>
    <t>water</t>
  </si>
  <si>
    <t>toluene</t>
  </si>
  <si>
    <t>THF</t>
  </si>
  <si>
    <t>methanol</t>
  </si>
  <si>
    <t>NH4OH</t>
  </si>
  <si>
    <t>acetone</t>
  </si>
  <si>
    <t>CH2CL2</t>
  </si>
  <si>
    <t>CO</t>
  </si>
  <si>
    <t>Mw (g/mol)</t>
  </si>
  <si>
    <t>H Donor</t>
  </si>
  <si>
    <t>H Acceptor</t>
  </si>
  <si>
    <t>Rotatable Bonds</t>
  </si>
  <si>
    <t>xlogP3</t>
  </si>
  <si>
    <t>Code</t>
  </si>
  <si>
    <t>Full Name</t>
  </si>
  <si>
    <t>Links</t>
  </si>
  <si>
    <t>2-amino-3-{3-[2-(phosphonomethyl)phenyl]phenyl}propanoic acid</t>
  </si>
  <si>
    <t>https://pubchem.ncbi.nlm.nih.gov/compound/4779#section=Synonyms</t>
  </si>
  <si>
    <t>3-Sulfanylbenzoic acid</t>
  </si>
  <si>
    <t>Triphenylphosphine</t>
  </si>
  <si>
    <t>http://www.sioc-ccbg.ac.cn/skins/ccbgwebsite/software/xlogp3/</t>
  </si>
  <si>
    <t>PPh3</t>
  </si>
  <si>
    <t>Target</t>
  </si>
  <si>
    <t>Total solvent amount/ml</t>
  </si>
  <si>
    <t>Ligand amount/umol (some is inferred from ratio)</t>
  </si>
  <si>
    <t>HAuCl4 amount/umol (similar with ligand) (393.83)</t>
  </si>
  <si>
    <t>Ligand to Au molar ratio</t>
  </si>
  <si>
    <t>Reducing agent</t>
  </si>
  <si>
    <t>RA amount/mmol</t>
  </si>
  <si>
    <t>Size focusing agent</t>
  </si>
  <si>
    <t>Temp for reducing process</t>
  </si>
  <si>
    <t>Total time/h</t>
  </si>
  <si>
    <t>atomic precision</t>
  </si>
  <si>
    <t>final concentration ratio</t>
  </si>
  <si>
    <t>reference</t>
    <phoneticPr fontId="0" type="noConversion"/>
  </si>
  <si>
    <t>materials and methods (method)</t>
  </si>
  <si>
    <t>Au329(SR)84</t>
  </si>
  <si>
    <t xml:space="preserve">toluene </t>
  </si>
  <si>
    <t>approx 30 (with 20ml water from RA)</t>
  </si>
  <si>
    <t>1 to 1</t>
  </si>
  <si>
    <t>NaBH4 (37.83)</t>
  </si>
  <si>
    <t>extra ligand with 80c</t>
  </si>
  <si>
    <t>3 + 8d</t>
  </si>
  <si>
    <t>yes</t>
  </si>
  <si>
    <t>dx.doi.org/10.1021/ac403851s | Anal. Chem. 2014, 86, 4227−4232</t>
  </si>
  <si>
    <t>support information</t>
  </si>
  <si>
    <t>Au25(SCH2CH2Ph)18</t>
  </si>
  <si>
    <t>102.1 + 20ml aqe for RA</t>
  </si>
  <si>
    <t>phenylethanethiol</t>
  </si>
  <si>
    <t>6 to 1</t>
  </si>
  <si>
    <t>just wait</t>
  </si>
  <si>
    <t>total 6d</t>
  </si>
  <si>
    <t>Experimental section</t>
  </si>
  <si>
    <t>Au25(capt)18</t>
  </si>
  <si>
    <t>15ml +5ml aqe</t>
  </si>
  <si>
    <t>5 to 1</t>
  </si>
  <si>
    <t>no</t>
  </si>
  <si>
    <t>0.5 +16</t>
  </si>
  <si>
    <t>DOI :10.1021/acs.jpcc.5b01475 J. Phys. Chem. C 2015, 119, 6221−6226</t>
  </si>
  <si>
    <t xml:space="preserve"> Au102(pMBA)44 </t>
  </si>
  <si>
    <t>1 to 3</t>
  </si>
  <si>
    <t xml:space="preserve">no </t>
  </si>
  <si>
    <t>2 +?</t>
  </si>
  <si>
    <t>no ?</t>
  </si>
  <si>
    <t>in 50v/v methanol ( 3 mM pMBA and 9 mMHAuCl4 and 4.5mM NaBH4)</t>
  </si>
  <si>
    <t>DOI: 10.1021/acs.jpcc.6b12073</t>
  </si>
  <si>
    <t xml:space="preserve"> Au25(pMBA)18/Au36(pMBA)24 </t>
  </si>
  <si>
    <t>NH4OH(aq)</t>
  </si>
  <si>
    <t>10ml</t>
  </si>
  <si>
    <t>2 to 1</t>
  </si>
  <si>
    <t>CO 2psi</t>
  </si>
  <si>
    <t>3+24</t>
  </si>
  <si>
    <t>Experimental method</t>
  </si>
  <si>
    <t xml:space="preserve"> [Au37(PPh3)10(SC2H4Ph)10Cl2]</t>
  </si>
  <si>
    <t>8ml</t>
  </si>
  <si>
    <t>2.7 to 1</t>
  </si>
  <si>
    <t>yes extra phenylethylthiol and 313k</t>
  </si>
  <si>
    <t>2 + 36</t>
  </si>
  <si>
    <t>DOI: 10.1021/acsnano.5b03524</t>
  </si>
  <si>
    <t xml:space="preserve">Au144(4-MBA)60 </t>
  </si>
  <si>
    <t>water and methanol</t>
  </si>
  <si>
    <t>2.5 times vol</t>
  </si>
  <si>
    <t>7 to 1</t>
  </si>
  <si>
    <t xml:space="preserve"> 2.5 mM 3-MBA, 0.36 mM HAuCl4, and 27% (v/v)methanol 2 mM NaBH4</t>
  </si>
  <si>
    <t>DOI: 10.1021/acsnano.7b06051</t>
  </si>
  <si>
    <t>support</t>
    <phoneticPr fontId="0" type="noConversion"/>
  </si>
  <si>
    <t xml:space="preserve"> Au246(p-MBT)80</t>
    <phoneticPr fontId="0" type="noConversion"/>
  </si>
  <si>
    <t xml:space="preserve">toluene </t>
    <phoneticPr fontId="0" type="noConversion"/>
  </si>
  <si>
    <t>10ml + 5 aqe</t>
  </si>
  <si>
    <t>p-MBT</t>
  </si>
  <si>
    <t>4 to 1</t>
  </si>
  <si>
    <t>NaBH4</t>
    <phoneticPr fontId="0" type="noConversion"/>
  </si>
  <si>
    <t>yes extra 1ml p-MBT and 1ml toluene 80c</t>
  </si>
  <si>
    <t>10min + 10h</t>
  </si>
  <si>
    <t>DOI: 10.1126/science.aak9750</t>
  </si>
  <si>
    <t>Au25(MPA)18</t>
  </si>
  <si>
    <t>water</t>
    <phoneticPr fontId="0" type="noConversion"/>
  </si>
  <si>
    <t>5ml</t>
  </si>
  <si>
    <t>MPA</t>
    <phoneticPr fontId="0" type="noConversion"/>
  </si>
  <si>
    <t>NaBH4(prepared by dissolving 43 mg of NaBH4 powder in 10 mL of 0.2 M
NaOH solution)</t>
    <phoneticPr fontId="0" type="noConversion"/>
  </si>
  <si>
    <t>basic</t>
  </si>
  <si>
    <t>tot 3h</t>
  </si>
  <si>
    <t>anie_201311177_sm_miscellaneous_information.pdf</t>
  </si>
  <si>
    <t>Au25(Cys)18</t>
  </si>
  <si>
    <t>Cys</t>
    <phoneticPr fontId="0" type="noConversion"/>
  </si>
  <si>
    <t>Au25(HCys)18</t>
  </si>
  <si>
    <t>Hcys</t>
    <phoneticPr fontId="0" type="noConversion"/>
  </si>
  <si>
    <t>Au25(MUA)18</t>
  </si>
  <si>
    <t>water with 40% ethanol</t>
    <phoneticPr fontId="0" type="noConversion"/>
  </si>
  <si>
    <t>MUA</t>
    <phoneticPr fontId="0" type="noConversion"/>
  </si>
  <si>
    <t>Au25(GSH)18</t>
  </si>
  <si>
    <t>water with 60% ethanol</t>
    <phoneticPr fontId="0" type="noConversion"/>
  </si>
  <si>
    <t>GSH</t>
    <phoneticPr fontId="0" type="noConversion"/>
  </si>
  <si>
    <t>in method</t>
    <phoneticPr fontId="0" type="noConversion"/>
  </si>
  <si>
    <t>water</t>
    <phoneticPr fontId="0" type="noConversion"/>
  </si>
  <si>
    <t>MPA</t>
    <phoneticPr fontId="0" type="noConversion"/>
  </si>
  <si>
    <t>1 bar CO for 2 min</t>
  </si>
  <si>
    <t>2min + 24h</t>
  </si>
  <si>
    <t>DOI 10.1007/s12274-015-0847-2</t>
  </si>
  <si>
    <t>method</t>
    <phoneticPr fontId="0" type="noConversion"/>
  </si>
  <si>
    <t>Au25(MHA)18</t>
  </si>
  <si>
    <t>MHA</t>
    <phoneticPr fontId="0" type="noConversion"/>
  </si>
  <si>
    <t>Au25(MPA)11(Cyst)7</t>
  </si>
  <si>
    <t>MPA and Cyst</t>
    <phoneticPr fontId="0" type="noConversion"/>
  </si>
  <si>
    <t xml:space="preserve">don’t </t>
  </si>
  <si>
    <t>Au25(MHA)11–14(Cyst)7–4</t>
  </si>
  <si>
    <t>MHA and Cyst</t>
    <phoneticPr fontId="0" type="noConversion"/>
  </si>
  <si>
    <t>main content</t>
    <phoneticPr fontId="0" type="noConversion"/>
  </si>
  <si>
    <t>Au30S(StBu)18</t>
  </si>
  <si>
    <t xml:space="preserve">THF </t>
    <phoneticPr fontId="0" type="noConversion"/>
  </si>
  <si>
    <t>NaBH4 and Na2S</t>
  </si>
  <si>
    <t>don’t</t>
  </si>
  <si>
    <t>DOI: 10.1039/c4cc01773k</t>
    <phoneticPr fontId="0" type="noConversion"/>
  </si>
  <si>
    <t>Au25(PET)18</t>
  </si>
  <si>
    <t>THF</t>
    <phoneticPr fontId="0" type="noConversion"/>
  </si>
  <si>
    <t>7.5ml</t>
  </si>
  <si>
    <t>1 to 5</t>
  </si>
  <si>
    <t>NaBH4</t>
    <phoneticPr fontId="0" type="noConversion"/>
  </si>
  <si>
    <t>? + 5h</t>
  </si>
  <si>
    <t>DOI 10.1039/C6CC03202H</t>
    <phoneticPr fontId="0" type="noConversion"/>
  </si>
  <si>
    <t>Au34(S-c-C6H11)22 and Au42(S-c-C6H11)26</t>
    <phoneticPr fontId="0" type="noConversion"/>
  </si>
  <si>
    <t>5ml</t>
    <phoneticPr fontId="0" type="noConversion"/>
  </si>
  <si>
    <t>cyclohexanethiol</t>
    <phoneticPr fontId="0" type="noConversion"/>
  </si>
  <si>
    <t>5 to 1</t>
    <phoneticPr fontId="0" type="noConversion"/>
  </si>
  <si>
    <t>extra cyclohexanethiol and heat to 40c</t>
    <phoneticPr fontId="0" type="noConversion"/>
  </si>
  <si>
    <t>0.5h+41h</t>
    <phoneticPr fontId="0" type="noConversion"/>
  </si>
  <si>
    <t>no</t>
    <phoneticPr fontId="0" type="noConversion"/>
  </si>
  <si>
    <t>DOI 10.1039/C6NR09724C</t>
    <phoneticPr fontId="0" type="noConversion"/>
  </si>
  <si>
    <t>Experimental section</t>
    <phoneticPr fontId="0" type="noConversion"/>
  </si>
  <si>
    <t>Au38(SC2H4Ph)24</t>
  </si>
  <si>
    <t>acetone</t>
    <phoneticPr fontId="0" type="noConversion"/>
  </si>
  <si>
    <t>20ml+6mlwater</t>
    <phoneticPr fontId="0" type="noConversion"/>
  </si>
  <si>
    <t xml:space="preserve">GSH </t>
    <phoneticPr fontId="0" type="noConversion"/>
  </si>
  <si>
    <t>4 to 1</t>
    <phoneticPr fontId="0" type="noConversion"/>
  </si>
  <si>
    <t>yes extra PhC2H4SH and 80c</t>
    <phoneticPr fontId="0" type="noConversion"/>
  </si>
  <si>
    <t>1h+40h</t>
    <phoneticPr fontId="0" type="noConversion"/>
  </si>
  <si>
    <t>yes</t>
    <phoneticPr fontId="0" type="noConversion"/>
  </si>
  <si>
    <r>
      <t>DOI: </t>
    </r>
    <r>
      <rPr>
        <sz val="9"/>
        <color rgb="FF000000"/>
        <rFont val="Arial"/>
        <family val="2"/>
      </rPr>
      <t>10.1021/nn901137h</t>
    </r>
  </si>
  <si>
    <t>Au10-12(SG)10-12</t>
  </si>
  <si>
    <t>250ml</t>
    <phoneticPr fontId="0" type="noConversion"/>
  </si>
  <si>
    <t>2 to 1</t>
    <phoneticPr fontId="0" type="noConversion"/>
  </si>
  <si>
    <t>1 bar of CO for 2 min</t>
  </si>
  <si>
    <t>2min + 24h</t>
    <phoneticPr fontId="0" type="noConversion"/>
  </si>
  <si>
    <t>yes</t>
    <phoneticPr fontId="0" type="noConversion"/>
  </si>
  <si>
    <t>dx.doi.org/10.1021/cm304098x</t>
  </si>
  <si>
    <t>Au15(SG)13</t>
  </si>
  <si>
    <t>water</t>
    <phoneticPr fontId="0" type="noConversion"/>
  </si>
  <si>
    <t>Au18(SG)14</t>
  </si>
  <si>
    <t>Au25(SG)18</t>
  </si>
  <si>
    <t>Au15(MPA)13</t>
  </si>
  <si>
    <t>Au18(MPA)14</t>
  </si>
  <si>
    <t>experimental</t>
    <phoneticPr fontId="0" type="noConversion"/>
  </si>
  <si>
    <t>Au18(SC6H11)14</t>
  </si>
  <si>
    <t>CH2Cl2</t>
  </si>
  <si>
    <t>10ml</t>
    <phoneticPr fontId="0" type="noConversion"/>
  </si>
  <si>
    <t>1-cyclohexanethiol</t>
  </si>
  <si>
    <t>4 to 1</t>
    <phoneticPr fontId="0" type="noConversion"/>
  </si>
  <si>
    <t>5h</t>
    <phoneticPr fontId="0" type="noConversion"/>
  </si>
  <si>
    <t>DOI: 10.1002/anie.201410161</t>
    <phoneticPr fontId="0" type="noConversion"/>
  </si>
  <si>
    <t>class</t>
  </si>
  <si>
    <t>ligand (umol)</t>
  </si>
  <si>
    <t>HAuCl4 (umol)</t>
  </si>
  <si>
    <t>RA (umol)</t>
  </si>
  <si>
    <t>temp (degree C)</t>
  </si>
  <si>
    <t>Au25</t>
  </si>
  <si>
    <t>None</t>
  </si>
  <si>
    <t>KZ Comments</t>
  </si>
  <si>
    <t>3-MBA=mMBA=3-Sulfanylbenzoic acid</t>
  </si>
  <si>
    <t>Dichloromethane</t>
  </si>
  <si>
    <t>Ammonium hydroxide</t>
  </si>
  <si>
    <t>Tetrahydrofuran</t>
  </si>
  <si>
    <t>TPSA</t>
  </si>
  <si>
    <t>Complexity</t>
  </si>
  <si>
    <t>https://pubchem.ncbi.nlm.nih.gov/compound/95737</t>
  </si>
  <si>
    <t>https://pubchem.ncbi.nlm.nih.gov/compound/11776#section=Chemical-and-Physical-Properties</t>
  </si>
  <si>
    <t>https://pubchem.ncbi.nlm.nih.gov/compound/44093#section=Top</t>
  </si>
  <si>
    <t>https://pubchem.ncbi.nlm.nih.gov/compound/15290</t>
  </si>
  <si>
    <t>https://pubchem.ncbi.nlm.nih.gov/compound/962</t>
  </si>
  <si>
    <t>https://pubchem.ncbi.nlm.nih.gov/compound/8028</t>
  </si>
  <si>
    <t>https://pubchem.ncbi.nlm.nih.gov/compound/1140#section=Top</t>
  </si>
  <si>
    <t>https://pubchem.ncbi.nlm.nih.gov/compound/887</t>
  </si>
  <si>
    <t>https://pubchem.ncbi.nlm.nih.gov/compound/14923</t>
  </si>
  <si>
    <t>https://pubchem.ncbi.nlm.nih.gov/compound/180</t>
  </si>
  <si>
    <t>https://pubchem.ncbi.nlm.nih.gov/compound/6344#section=Chemical-and-Physical-Properties</t>
  </si>
  <si>
    <t>https://pubchem.ncbi.nlm.nih.gov/compound/4311764</t>
  </si>
  <si>
    <t>Sodium Boranuide</t>
  </si>
  <si>
    <t>https://pubchem.ncbi.nlm.nih.gov/compound/281</t>
  </si>
  <si>
    <t>Carbon monoxide</t>
  </si>
  <si>
    <t>cyclohexanethiol</t>
  </si>
  <si>
    <t>L-cysteine</t>
  </si>
  <si>
    <t>DL-homocysteine</t>
  </si>
  <si>
    <t>11-mercaptoundecanoic acid</t>
  </si>
  <si>
    <t>L-glutathione reduced</t>
  </si>
  <si>
    <t>4-methylbenzenethiol</t>
  </si>
  <si>
    <t xml:space="preserve"> 6-mercaptohexanoic acid </t>
  </si>
  <si>
    <t>3-mercaptopropionic acid</t>
  </si>
  <si>
    <t>Captopril</t>
  </si>
  <si>
    <t>SMILES</t>
  </si>
  <si>
    <t>C1CCOC1</t>
  </si>
  <si>
    <t>O</t>
  </si>
  <si>
    <t>CC1=CC=CC=C1</t>
  </si>
  <si>
    <t>CC(=O)C</t>
  </si>
  <si>
    <t>[NH4+].[OH-]</t>
  </si>
  <si>
    <t>C(Cl)Cl</t>
  </si>
  <si>
    <t>C(CCC(=O)O)CCS</t>
  </si>
  <si>
    <t>C1=CC=C(C(=C1)CP(=O)(O)O)C2=CC(=CC=C2)CC(C(=O)O)N</t>
  </si>
  <si>
    <t>C1=CC(=CC(=C1)S)C(=O)O</t>
  </si>
  <si>
    <t>C(CS)C(=O)O</t>
  </si>
  <si>
    <t>C1=CC=C(C=C1)P(C2=CC=CC=C2)C3=CC=CC=C3</t>
  </si>
  <si>
    <t>2-phenylethanethiol</t>
  </si>
  <si>
    <t>C1=CC=C(C=C1)CCS</t>
  </si>
  <si>
    <t>https://pubchem.ncbi.nlm.nih.gov/compound/78126#section=Top</t>
  </si>
  <si>
    <t>https://pubchem.ncbi.nlm.nih.gov/compound/329113</t>
  </si>
  <si>
    <t>https://pubchem.ncbi.nlm.nih.gov/compound/3-mercaptopropionic_acid</t>
  </si>
  <si>
    <t>CC(CS)C(=O)N1CCCC1C(=O)O</t>
  </si>
  <si>
    <t>C(C(C(=O)O)N)S</t>
  </si>
  <si>
    <t>https://pubchem.ncbi.nlm.nih.gov/compound/5862#section=Names-and-Identifiers</t>
  </si>
  <si>
    <t>https://pubchem.ncbi.nlm.nih.gov/compound/778</t>
  </si>
  <si>
    <t>C(CS)C(C(=O)O)N</t>
  </si>
  <si>
    <t>https://pubchem.ncbi.nlm.nih.gov/compound/11-Mercaptoundecanoic_acid#section=Top</t>
  </si>
  <si>
    <t>C(CCCCCS)CCCCC(=O)O</t>
  </si>
  <si>
    <t>https://pubchem.ncbi.nlm.nih.gov/compound/124886#section=Top</t>
  </si>
  <si>
    <t>C(CC(=O)NC(CS)C(=O)NCC(=O)O)C(C(=O)O)N</t>
  </si>
  <si>
    <t>C1CCC(CC1)S</t>
  </si>
  <si>
    <t>https://pubchem.ncbi.nlm.nih.gov/compound/7811</t>
  </si>
  <si>
    <t>CC1=CC=C(C=C1)S</t>
  </si>
  <si>
    <t>[BH4-].[Na+]</t>
  </si>
  <si>
    <t>[C-]#[O+]</t>
  </si>
  <si>
    <t>aq vol (ml)</t>
  </si>
  <si>
    <t>organic vol(ml</t>
  </si>
  <si>
    <t>ligand (umol/ml)</t>
  </si>
  <si>
    <t>HAuCl4 (umol/ml)</t>
  </si>
  <si>
    <t>RA (umol/ml)</t>
  </si>
  <si>
    <t>aqueous only</t>
  </si>
  <si>
    <t>all divide by aqueous</t>
  </si>
  <si>
    <t xml:space="preserve">orangic and aqueous </t>
  </si>
  <si>
    <t>ligand and HauCl4 divide by organic, RA divide by aqueous</t>
  </si>
  <si>
    <t>RA</t>
  </si>
  <si>
    <t>dx.doi.org/10.1021/ac2012653 |Anal. Chem. 2011, 83, 6355–6362</t>
  </si>
  <si>
    <t>not sure when they are removing the organic phase, would'nt some of the HAuCl4 come out also?</t>
  </si>
  <si>
    <t>Au55(SC2H4Ph)31</t>
  </si>
  <si>
    <t>20ml</t>
  </si>
  <si>
    <t>5 in 6ml water</t>
  </si>
  <si>
    <t>yes extra PhC2H4SH and 80c</t>
  </si>
  <si>
    <t>10.1039/c1cc15099e</t>
  </si>
  <si>
    <t>support</t>
  </si>
  <si>
    <t>Au144(C6H13SH)60</t>
  </si>
  <si>
    <t xml:space="preserve">methanol </t>
  </si>
  <si>
    <t xml:space="preserve">15ml </t>
  </si>
  <si>
    <t>5.3 to 1</t>
  </si>
  <si>
    <t>3 in 6ml water</t>
  </si>
  <si>
    <t>dx.doi.org/10.1021/cm200143s</t>
  </si>
  <si>
    <t>Au23(c-C6)16</t>
  </si>
  <si>
    <t>15ml</t>
  </si>
  <si>
    <t>dx.doi.org/10.1021/ja409177s</t>
  </si>
  <si>
    <t>Au144(SC6H13)</t>
  </si>
  <si>
    <t>30ml</t>
  </si>
  <si>
    <t>1-hexanethiol</t>
  </si>
  <si>
    <t>12 in 24ml water</t>
  </si>
  <si>
    <t>dx.doi.org/10.1021/ja409998j</t>
  </si>
  <si>
    <t>Au99(SPh)42</t>
  </si>
  <si>
    <t>SPh</t>
  </si>
  <si>
    <t>2.1 in 5ml water</t>
  </si>
  <si>
    <t>yes extra thiol 1ml 80c</t>
  </si>
  <si>
    <t>dx.doi.org/10.1021/ja500121v</t>
  </si>
  <si>
    <t>experimental</t>
  </si>
  <si>
    <t>https://pubchem.ncbi.nlm.nih.gov/compound/1-hexanethiol#section=Top</t>
  </si>
  <si>
    <t>CCCCCCS</t>
  </si>
  <si>
    <t>Glutathione</t>
  </si>
  <si>
    <t>C1=CC=C(C=C1)S</t>
  </si>
  <si>
    <t>https://pubchem.ncbi.nlm.nih.gov/compound/glutathione</t>
  </si>
  <si>
    <t>https://pubchem.ncbi.nlm.nih.gov/compound/Benzenethiol#section=Top</t>
  </si>
  <si>
    <t>Thiophenol</t>
  </si>
  <si>
    <t>All Valid caa 080818</t>
  </si>
  <si>
    <t>Aqueous Only</t>
  </si>
  <si>
    <t>dielectric constant of solvent</t>
  </si>
  <si>
    <t>Redox potential</t>
  </si>
  <si>
    <t>charge potential (-ve 0, neutral 1)</t>
  </si>
  <si>
    <t>solubility of ligand in corresponding solvent (weakly soluble 0, soluble 1)</t>
  </si>
  <si>
    <t>aromatic  0  or aliphatic 1</t>
  </si>
  <si>
    <t>Confirmed descriptors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</si>
</sst>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Calibri"/>
      <family val="2"/>
      <scheme val="minor"/>
    </font>
    <font>
      <sz val="10"/>
      <color rgb="FF212121"/>
      <name val="Segoe UI"/>
      <family val="2"/>
    </font>
    <font>
      <sz val="11"/>
      <color rgb="FF333333"/>
      <name val="Helvetica"/>
      <family val="2"/>
    </font>
    <font>
      <sz val="9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9"/>
      <color rgb="FF666666"/>
      <name val="Arial"/>
      <family val="2"/>
    </font>
    <font>
      <sz val="12"/>
      <color theme="1"/>
      <name val="Museo_sans300"/>
      <family val="2"/>
    </font>
    <font>
      <b/>
      <sz val="9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1212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Fill="1"/>
    <xf numFmtId="0" fontId="0" fillId="0" borderId="0" xfId="0" applyFill="1" applyAlignment="1">
      <alignment wrapText="1"/>
    </xf>
    <xf numFmtId="0" fontId="4" fillId="0" borderId="0" xfId="1" applyFill="1"/>
    <xf numFmtId="0" fontId="1" fillId="0" borderId="0" xfId="0" applyFont="1" applyFill="1"/>
    <xf numFmtId="0" fontId="2" fillId="0" borderId="0" xfId="0" applyFont="1" applyFill="1"/>
    <xf numFmtId="0" fontId="1" fillId="0" borderId="1" xfId="0" applyFont="1" applyFill="1" applyBorder="1" applyAlignment="1">
      <alignment horizontal="left" vertical="center" wrapText="1"/>
    </xf>
    <xf numFmtId="0" fontId="3" fillId="0" borderId="0" xfId="0" applyFont="1" applyFill="1"/>
    <xf numFmtId="0" fontId="8" fillId="0" borderId="0" xfId="0" applyFont="1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/>
    <xf numFmtId="0" fontId="11" fillId="0" borderId="0" xfId="0" applyFont="1" applyFill="1"/>
    <xf numFmtId="0" fontId="11" fillId="2" borderId="0" xfId="0" applyFont="1" applyFill="1"/>
    <xf numFmtId="0" fontId="12" fillId="0" borderId="0" xfId="0" applyFont="1"/>
    <xf numFmtId="0" fontId="13" fillId="0" borderId="0" xfId="0" applyFont="1"/>
    <xf numFmtId="0" fontId="1" fillId="0" borderId="0" xfId="0" applyFont="1"/>
  </cellXfs>
  <cellStyles count="2">
    <cellStyle name="Hyperlink" xfId="1" builtinId="8"/>
    <cellStyle name="Normal" xfId="0" builtinId="0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461010</xdr:colOff>
      <xdr:row>0</xdr:row>
      <xdr:rowOff>0</xdr:rowOff>
    </xdr:from>
    <xdr:to>
      <xdr:col>36</xdr:col>
      <xdr:colOff>351631</xdr:colOff>
      <xdr:row>14</xdr:row>
      <xdr:rowOff>56114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263360" y="0"/>
          <a:ext cx="3548221" cy="46281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pubchem.ncbi.nlm.nih.gov/compound/180" TargetMode="External"/><Relationship Id="rId13" Type="http://schemas.openxmlformats.org/officeDocument/2006/relationships/hyperlink" Target="https://pubchem.ncbi.nlm.nih.gov/compound/124886" TargetMode="External"/><Relationship Id="rId18" Type="http://schemas.openxmlformats.org/officeDocument/2006/relationships/hyperlink" Target="https://pubchem.ncbi.nlm.nih.gov/compound/1-hexanethiol" TargetMode="External"/><Relationship Id="rId3" Type="http://schemas.openxmlformats.org/officeDocument/2006/relationships/hyperlink" Target="https://pubchem.ncbi.nlm.nih.gov/compound/15290" TargetMode="External"/><Relationship Id="rId7" Type="http://schemas.openxmlformats.org/officeDocument/2006/relationships/hyperlink" Target="https://pubchem.ncbi.nlm.nih.gov/compound/14923" TargetMode="External"/><Relationship Id="rId12" Type="http://schemas.openxmlformats.org/officeDocument/2006/relationships/hyperlink" Target="https://pubchem.ncbi.nlm.nih.gov/compound/44093" TargetMode="External"/><Relationship Id="rId17" Type="http://schemas.openxmlformats.org/officeDocument/2006/relationships/hyperlink" Target="https://pubchem.ncbi.nlm.nih.gov/compound/glutathione" TargetMode="External"/><Relationship Id="rId2" Type="http://schemas.openxmlformats.org/officeDocument/2006/relationships/hyperlink" Target="https://pubchem.ncbi.nlm.nih.gov/compound/1140" TargetMode="External"/><Relationship Id="rId16" Type="http://schemas.openxmlformats.org/officeDocument/2006/relationships/hyperlink" Target="https://pubchem.ncbi.nlm.nih.gov/compound/7811" TargetMode="External"/><Relationship Id="rId20" Type="http://schemas.openxmlformats.org/officeDocument/2006/relationships/printerSettings" Target="../printerSettings/printerSettings6.bin"/><Relationship Id="rId1" Type="http://schemas.openxmlformats.org/officeDocument/2006/relationships/hyperlink" Target="https://pubchem.ncbi.nlm.nih.gov/compound/4779" TargetMode="External"/><Relationship Id="rId6" Type="http://schemas.openxmlformats.org/officeDocument/2006/relationships/hyperlink" Target="https://pubchem.ncbi.nlm.nih.gov/compound/887" TargetMode="External"/><Relationship Id="rId11" Type="http://schemas.openxmlformats.org/officeDocument/2006/relationships/hyperlink" Target="https://pubchem.ncbi.nlm.nih.gov/compound/11776" TargetMode="External"/><Relationship Id="rId5" Type="http://schemas.openxmlformats.org/officeDocument/2006/relationships/hyperlink" Target="https://pubchem.ncbi.nlm.nih.gov/compound/8028" TargetMode="External"/><Relationship Id="rId15" Type="http://schemas.openxmlformats.org/officeDocument/2006/relationships/hyperlink" Target="https://pubchem.ncbi.nlm.nih.gov/compound/281" TargetMode="External"/><Relationship Id="rId10" Type="http://schemas.openxmlformats.org/officeDocument/2006/relationships/hyperlink" Target="https://pubchem.ncbi.nlm.nih.gov/compound/95737" TargetMode="External"/><Relationship Id="rId19" Type="http://schemas.openxmlformats.org/officeDocument/2006/relationships/hyperlink" Target="https://pubchem.ncbi.nlm.nih.gov/compound/Benzenethiol" TargetMode="External"/><Relationship Id="rId4" Type="http://schemas.openxmlformats.org/officeDocument/2006/relationships/hyperlink" Target="https://pubchem.ncbi.nlm.nih.gov/compound/962" TargetMode="External"/><Relationship Id="rId9" Type="http://schemas.openxmlformats.org/officeDocument/2006/relationships/hyperlink" Target="https://pubchem.ncbi.nlm.nih.gov/compound/6344" TargetMode="External"/><Relationship Id="rId14" Type="http://schemas.openxmlformats.org/officeDocument/2006/relationships/hyperlink" Target="https://pubchem.ncbi.nlm.nih.gov/compound/4311764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94"/>
  <sheetViews>
    <sheetView topLeftCell="F1" workbookViewId="0">
      <selection activeCell="F31" sqref="F31"/>
    </sheetView>
  </sheetViews>
  <sheetFormatPr defaultRowHeight="15"/>
  <cols>
    <col min="1" max="1" width="9.140625" customWidth="1"/>
    <col min="2" max="23" width="14.7109375" customWidth="1"/>
  </cols>
  <sheetData>
    <row r="1" spans="2:24">
      <c r="B1" t="s">
        <v>17</v>
      </c>
      <c r="C1" t="s">
        <v>9</v>
      </c>
      <c r="D1" t="s">
        <v>10</v>
      </c>
      <c r="E1" t="s">
        <v>24</v>
      </c>
      <c r="F1" t="s">
        <v>11</v>
      </c>
      <c r="G1" t="s">
        <v>12</v>
      </c>
      <c r="H1" t="s">
        <v>25</v>
      </c>
      <c r="I1" t="s">
        <v>1</v>
      </c>
      <c r="J1" t="s">
        <v>13</v>
      </c>
      <c r="K1" t="s">
        <v>20</v>
      </c>
      <c r="L1" t="s">
        <v>14</v>
      </c>
      <c r="M1" t="s">
        <v>26</v>
      </c>
      <c r="N1" t="s">
        <v>3</v>
      </c>
      <c r="O1" s="1" t="s">
        <v>15</v>
      </c>
      <c r="P1" t="s">
        <v>16</v>
      </c>
      <c r="Q1" t="s">
        <v>0</v>
      </c>
      <c r="R1" t="s">
        <v>2</v>
      </c>
      <c r="U1" t="s">
        <v>4</v>
      </c>
      <c r="V1" t="s">
        <v>5</v>
      </c>
      <c r="W1" t="s">
        <v>6</v>
      </c>
      <c r="X1" t="s">
        <v>8</v>
      </c>
    </row>
    <row r="2" spans="2:24">
      <c r="B2">
        <v>2.35</v>
      </c>
      <c r="C2">
        <v>5</v>
      </c>
      <c r="D2">
        <v>2</v>
      </c>
      <c r="E2">
        <f>C2*D2</f>
        <v>10</v>
      </c>
      <c r="F2">
        <v>20</v>
      </c>
      <c r="G2">
        <v>0.25</v>
      </c>
      <c r="H2">
        <f>F2*G2</f>
        <v>5</v>
      </c>
      <c r="I2">
        <v>12.5</v>
      </c>
      <c r="J2">
        <v>121.6</v>
      </c>
      <c r="K2">
        <v>200</v>
      </c>
      <c r="L2">
        <v>0.1</v>
      </c>
      <c r="M2">
        <f>J2*L2</f>
        <v>12.16</v>
      </c>
      <c r="N2">
        <v>22</v>
      </c>
      <c r="O2">
        <v>24</v>
      </c>
      <c r="P2" t="s">
        <v>18</v>
      </c>
      <c r="Q2" t="s">
        <v>7</v>
      </c>
      <c r="R2" t="s">
        <v>19</v>
      </c>
      <c r="U2">
        <v>0.33300000000000002</v>
      </c>
      <c r="V2">
        <v>0.311</v>
      </c>
      <c r="W2">
        <f>U2/V2</f>
        <v>1.0707395498392283</v>
      </c>
      <c r="X2" t="s">
        <v>21</v>
      </c>
    </row>
    <row r="3" spans="2:24">
      <c r="B3">
        <v>2.35</v>
      </c>
      <c r="C3">
        <v>5</v>
      </c>
      <c r="D3">
        <v>2</v>
      </c>
      <c r="E3">
        <f t="shared" ref="E3:E28" si="0">C3*D3</f>
        <v>10</v>
      </c>
      <c r="F3">
        <v>20</v>
      </c>
      <c r="G3">
        <v>0.25</v>
      </c>
      <c r="H3">
        <f t="shared" ref="H3:H28" si="1">F3*G3</f>
        <v>5</v>
      </c>
      <c r="I3">
        <v>12.5</v>
      </c>
      <c r="J3">
        <v>121.6</v>
      </c>
      <c r="K3">
        <v>200</v>
      </c>
      <c r="L3">
        <v>0.1</v>
      </c>
      <c r="M3">
        <f t="shared" ref="M3:M28" si="2">J3*L3</f>
        <v>12.16</v>
      </c>
      <c r="N3">
        <v>30</v>
      </c>
      <c r="O3">
        <v>24</v>
      </c>
      <c r="P3" t="s">
        <v>18</v>
      </c>
      <c r="Q3" t="s">
        <v>7</v>
      </c>
      <c r="R3" t="s">
        <v>19</v>
      </c>
      <c r="U3">
        <v>0.34899999999999998</v>
      </c>
      <c r="V3">
        <v>0.32700000000000001</v>
      </c>
      <c r="W3">
        <f t="shared" ref="W3:W28" si="3">U3/V3</f>
        <v>1.0672782874617737</v>
      </c>
      <c r="X3" t="s">
        <v>21</v>
      </c>
    </row>
    <row r="4" spans="2:24">
      <c r="B4">
        <v>2.35</v>
      </c>
      <c r="C4">
        <v>5</v>
      </c>
      <c r="D4">
        <v>2</v>
      </c>
      <c r="E4">
        <f t="shared" si="0"/>
        <v>10</v>
      </c>
      <c r="F4">
        <v>20</v>
      </c>
      <c r="G4">
        <v>0.25</v>
      </c>
      <c r="H4">
        <f t="shared" si="1"/>
        <v>5</v>
      </c>
      <c r="I4">
        <v>12.5</v>
      </c>
      <c r="J4">
        <v>121.6</v>
      </c>
      <c r="K4">
        <v>200</v>
      </c>
      <c r="L4">
        <v>0.1</v>
      </c>
      <c r="M4">
        <f t="shared" si="2"/>
        <v>12.16</v>
      </c>
      <c r="N4">
        <v>40</v>
      </c>
      <c r="O4">
        <v>24</v>
      </c>
      <c r="P4" t="s">
        <v>18</v>
      </c>
      <c r="Q4" t="s">
        <v>7</v>
      </c>
      <c r="R4" t="s">
        <v>19</v>
      </c>
      <c r="U4">
        <v>0.38400000000000001</v>
      </c>
      <c r="V4">
        <v>0.35899999999999999</v>
      </c>
      <c r="W4">
        <f t="shared" si="3"/>
        <v>1.0696378830083566</v>
      </c>
      <c r="X4" t="s">
        <v>21</v>
      </c>
    </row>
    <row r="5" spans="2:24">
      <c r="B5">
        <v>2.35</v>
      </c>
      <c r="C5">
        <v>5</v>
      </c>
      <c r="D5">
        <v>2</v>
      </c>
      <c r="E5">
        <f t="shared" si="0"/>
        <v>10</v>
      </c>
      <c r="F5">
        <v>20</v>
      </c>
      <c r="G5">
        <v>0.25</v>
      </c>
      <c r="H5">
        <f t="shared" si="1"/>
        <v>5</v>
      </c>
      <c r="I5">
        <v>12.5</v>
      </c>
      <c r="J5">
        <v>121.6</v>
      </c>
      <c r="K5">
        <v>200</v>
      </c>
      <c r="L5">
        <v>0.1</v>
      </c>
      <c r="M5">
        <f t="shared" si="2"/>
        <v>12.16</v>
      </c>
      <c r="N5">
        <v>50</v>
      </c>
      <c r="O5">
        <v>24</v>
      </c>
      <c r="P5" t="s">
        <v>18</v>
      </c>
      <c r="Q5" t="s">
        <v>7</v>
      </c>
      <c r="R5" t="s">
        <v>19</v>
      </c>
      <c r="U5">
        <v>0.3</v>
      </c>
      <c r="V5">
        <v>0.38100000000000001</v>
      </c>
      <c r="W5">
        <f t="shared" si="3"/>
        <v>0.78740157480314954</v>
      </c>
    </row>
    <row r="6" spans="2:24">
      <c r="B6">
        <v>2.35</v>
      </c>
      <c r="C6">
        <v>5</v>
      </c>
      <c r="D6">
        <v>2</v>
      </c>
      <c r="E6">
        <f t="shared" si="0"/>
        <v>10</v>
      </c>
      <c r="F6">
        <v>20</v>
      </c>
      <c r="G6">
        <v>0.25</v>
      </c>
      <c r="H6">
        <f t="shared" si="1"/>
        <v>5</v>
      </c>
      <c r="I6">
        <v>12.5</v>
      </c>
      <c r="J6">
        <v>121.6</v>
      </c>
      <c r="K6">
        <v>200</v>
      </c>
      <c r="L6">
        <v>0.1</v>
      </c>
      <c r="M6">
        <f t="shared" si="2"/>
        <v>12.16</v>
      </c>
      <c r="N6">
        <v>60</v>
      </c>
      <c r="O6">
        <v>24</v>
      </c>
      <c r="P6" t="s">
        <v>18</v>
      </c>
      <c r="Q6" t="s">
        <v>7</v>
      </c>
      <c r="R6" t="s">
        <v>19</v>
      </c>
      <c r="U6">
        <v>0.311</v>
      </c>
      <c r="V6">
        <v>0.4</v>
      </c>
      <c r="W6">
        <f t="shared" si="3"/>
        <v>0.77749999999999997</v>
      </c>
    </row>
    <row r="7" spans="2:24">
      <c r="B7">
        <v>4.4000000000000004</v>
      </c>
      <c r="C7">
        <v>50</v>
      </c>
      <c r="D7">
        <v>0.2</v>
      </c>
      <c r="E7">
        <f t="shared" si="0"/>
        <v>10</v>
      </c>
      <c r="F7">
        <v>20</v>
      </c>
      <c r="G7">
        <v>0.25</v>
      </c>
      <c r="H7">
        <f t="shared" si="1"/>
        <v>5</v>
      </c>
      <c r="I7">
        <v>11.5</v>
      </c>
      <c r="J7">
        <v>1</v>
      </c>
      <c r="K7">
        <v>1</v>
      </c>
      <c r="L7">
        <v>0.156</v>
      </c>
      <c r="M7">
        <f t="shared" si="2"/>
        <v>0.156</v>
      </c>
      <c r="N7">
        <v>22</v>
      </c>
      <c r="O7">
        <v>1.5</v>
      </c>
      <c r="P7" t="s">
        <v>18</v>
      </c>
      <c r="Q7" t="s">
        <v>22</v>
      </c>
      <c r="R7" t="s">
        <v>19</v>
      </c>
      <c r="U7">
        <v>0.25900000000000001</v>
      </c>
      <c r="V7">
        <v>0.11799999999999999</v>
      </c>
      <c r="W7">
        <f t="shared" si="3"/>
        <v>2.1949152542372885</v>
      </c>
      <c r="X7" t="s">
        <v>21</v>
      </c>
    </row>
    <row r="8" spans="2:24">
      <c r="B8">
        <v>4.4000000000000004</v>
      </c>
      <c r="C8">
        <v>50</v>
      </c>
      <c r="D8">
        <v>0.2</v>
      </c>
      <c r="E8">
        <f t="shared" si="0"/>
        <v>10</v>
      </c>
      <c r="F8">
        <v>20</v>
      </c>
      <c r="G8">
        <v>0.25</v>
      </c>
      <c r="H8">
        <f t="shared" si="1"/>
        <v>5</v>
      </c>
      <c r="I8">
        <v>11.5</v>
      </c>
      <c r="J8">
        <v>1</v>
      </c>
      <c r="K8">
        <v>1</v>
      </c>
      <c r="L8">
        <v>0.1</v>
      </c>
      <c r="M8">
        <f t="shared" si="2"/>
        <v>0.1</v>
      </c>
      <c r="N8">
        <v>22</v>
      </c>
      <c r="O8">
        <v>1.5</v>
      </c>
      <c r="P8" t="s">
        <v>18</v>
      </c>
      <c r="Q8" t="s">
        <v>22</v>
      </c>
      <c r="R8" t="s">
        <v>19</v>
      </c>
      <c r="U8">
        <v>0.184</v>
      </c>
      <c r="V8">
        <v>0.11700000000000001</v>
      </c>
      <c r="W8">
        <f t="shared" si="3"/>
        <v>1.5726495726495726</v>
      </c>
    </row>
    <row r="9" spans="2:24">
      <c r="B9">
        <v>4.4000000000000004</v>
      </c>
      <c r="C9">
        <v>50</v>
      </c>
      <c r="D9">
        <v>0.2</v>
      </c>
      <c r="E9">
        <f t="shared" si="0"/>
        <v>10</v>
      </c>
      <c r="F9">
        <v>20</v>
      </c>
      <c r="G9">
        <v>0.25</v>
      </c>
      <c r="H9">
        <f t="shared" si="1"/>
        <v>5</v>
      </c>
      <c r="I9">
        <v>11.5</v>
      </c>
      <c r="J9">
        <v>1</v>
      </c>
      <c r="K9">
        <v>1</v>
      </c>
      <c r="L9">
        <v>0.2</v>
      </c>
      <c r="M9">
        <f t="shared" si="2"/>
        <v>0.2</v>
      </c>
      <c r="N9">
        <v>22</v>
      </c>
      <c r="O9">
        <v>1.5</v>
      </c>
      <c r="P9" t="s">
        <v>18</v>
      </c>
      <c r="Q9" t="s">
        <v>22</v>
      </c>
      <c r="R9" t="s">
        <v>19</v>
      </c>
      <c r="U9">
        <v>0.27600000000000002</v>
      </c>
      <c r="V9">
        <v>0.26500000000000001</v>
      </c>
      <c r="W9">
        <f>U9/V9</f>
        <v>1.0415094339622641</v>
      </c>
    </row>
    <row r="10" spans="2:24">
      <c r="B10">
        <v>4.4000000000000004</v>
      </c>
      <c r="C10">
        <v>50</v>
      </c>
      <c r="D10">
        <v>0.2</v>
      </c>
      <c r="E10">
        <f t="shared" si="0"/>
        <v>10</v>
      </c>
      <c r="F10">
        <v>20</v>
      </c>
      <c r="G10">
        <v>0.25</v>
      </c>
      <c r="H10">
        <f t="shared" si="1"/>
        <v>5</v>
      </c>
      <c r="I10">
        <v>11.5</v>
      </c>
      <c r="J10">
        <v>1</v>
      </c>
      <c r="K10">
        <v>1</v>
      </c>
      <c r="L10">
        <v>0.23</v>
      </c>
      <c r="M10">
        <f t="shared" si="2"/>
        <v>0.23</v>
      </c>
      <c r="N10">
        <v>22</v>
      </c>
      <c r="O10">
        <v>1.5</v>
      </c>
      <c r="P10" t="s">
        <v>18</v>
      </c>
      <c r="Q10" t="s">
        <v>22</v>
      </c>
      <c r="R10" t="s">
        <v>19</v>
      </c>
      <c r="U10">
        <v>0.28999999999999998</v>
      </c>
      <c r="V10">
        <v>0.32700000000000001</v>
      </c>
      <c r="W10">
        <f>U10/V10</f>
        <v>0.88685015290519864</v>
      </c>
    </row>
    <row r="11" spans="2:24">
      <c r="B11">
        <v>4.4000000000000004</v>
      </c>
      <c r="C11">
        <v>50</v>
      </c>
      <c r="D11">
        <v>0.2</v>
      </c>
      <c r="E11">
        <f t="shared" si="0"/>
        <v>10</v>
      </c>
      <c r="F11">
        <v>20</v>
      </c>
      <c r="G11">
        <v>0.25</v>
      </c>
      <c r="H11">
        <f t="shared" si="1"/>
        <v>5</v>
      </c>
      <c r="I11">
        <v>11.5</v>
      </c>
      <c r="J11">
        <v>100</v>
      </c>
      <c r="K11">
        <v>100</v>
      </c>
      <c r="L11">
        <v>0.1</v>
      </c>
      <c r="M11">
        <f t="shared" si="2"/>
        <v>10</v>
      </c>
      <c r="N11">
        <v>22</v>
      </c>
      <c r="O11">
        <v>1.5</v>
      </c>
      <c r="P11" t="s">
        <v>18</v>
      </c>
      <c r="Q11" t="s">
        <v>22</v>
      </c>
      <c r="R11" t="s">
        <v>19</v>
      </c>
      <c r="U11">
        <v>0.35299999999999998</v>
      </c>
      <c r="V11">
        <v>0.41299999999999998</v>
      </c>
      <c r="W11">
        <f t="shared" si="3"/>
        <v>0.85472154963680391</v>
      </c>
    </row>
    <row r="12" spans="2:24">
      <c r="B12">
        <v>4.4000000000000004</v>
      </c>
      <c r="C12">
        <v>50</v>
      </c>
      <c r="D12">
        <v>0.3</v>
      </c>
      <c r="E12">
        <f t="shared" si="0"/>
        <v>15</v>
      </c>
      <c r="F12">
        <v>20</v>
      </c>
      <c r="G12">
        <v>0.25</v>
      </c>
      <c r="H12">
        <f t="shared" si="1"/>
        <v>5</v>
      </c>
      <c r="I12">
        <v>11.5</v>
      </c>
      <c r="J12">
        <v>1</v>
      </c>
      <c r="K12">
        <v>1</v>
      </c>
      <c r="L12">
        <v>0.2</v>
      </c>
      <c r="M12">
        <f t="shared" si="2"/>
        <v>0.2</v>
      </c>
      <c r="N12">
        <v>22</v>
      </c>
      <c r="O12">
        <v>1.5</v>
      </c>
      <c r="P12" t="s">
        <v>18</v>
      </c>
      <c r="Q12" t="s">
        <v>22</v>
      </c>
      <c r="R12" t="s">
        <v>19</v>
      </c>
      <c r="U12">
        <v>0.17599999999999999</v>
      </c>
      <c r="V12">
        <v>0.21199999999999999</v>
      </c>
      <c r="W12">
        <f t="shared" si="3"/>
        <v>0.83018867924528295</v>
      </c>
    </row>
    <row r="13" spans="2:24">
      <c r="B13">
        <v>4.4000000000000004</v>
      </c>
      <c r="C13">
        <v>50</v>
      </c>
      <c r="D13">
        <v>0.25</v>
      </c>
      <c r="E13">
        <f t="shared" si="0"/>
        <v>12.5</v>
      </c>
      <c r="F13">
        <v>20</v>
      </c>
      <c r="G13">
        <v>0.25</v>
      </c>
      <c r="H13">
        <f t="shared" si="1"/>
        <v>5</v>
      </c>
      <c r="I13">
        <v>11.5</v>
      </c>
      <c r="J13">
        <v>1</v>
      </c>
      <c r="K13">
        <v>1</v>
      </c>
      <c r="L13">
        <v>0.2</v>
      </c>
      <c r="M13">
        <f t="shared" si="2"/>
        <v>0.2</v>
      </c>
      <c r="N13">
        <v>22</v>
      </c>
      <c r="O13">
        <v>1.5</v>
      </c>
      <c r="P13" t="s">
        <v>18</v>
      </c>
      <c r="Q13" t="s">
        <v>22</v>
      </c>
      <c r="R13" t="s">
        <v>19</v>
      </c>
      <c r="U13">
        <v>0.20499999999999999</v>
      </c>
      <c r="V13">
        <v>0.24399999999999999</v>
      </c>
      <c r="W13">
        <f t="shared" si="3"/>
        <v>0.8401639344262295</v>
      </c>
    </row>
    <row r="14" spans="2:24">
      <c r="B14">
        <v>4.4000000000000004</v>
      </c>
      <c r="C14">
        <v>50</v>
      </c>
      <c r="D14">
        <v>0.15</v>
      </c>
      <c r="E14">
        <f t="shared" si="0"/>
        <v>7.5</v>
      </c>
      <c r="F14">
        <v>20</v>
      </c>
      <c r="G14">
        <v>0.25</v>
      </c>
      <c r="H14">
        <f t="shared" si="1"/>
        <v>5</v>
      </c>
      <c r="I14">
        <v>11.5</v>
      </c>
      <c r="J14">
        <v>1</v>
      </c>
      <c r="K14">
        <v>1</v>
      </c>
      <c r="L14">
        <v>0.2</v>
      </c>
      <c r="M14">
        <f t="shared" si="2"/>
        <v>0.2</v>
      </c>
      <c r="N14">
        <v>22</v>
      </c>
      <c r="O14">
        <v>1.5</v>
      </c>
      <c r="P14" t="s">
        <v>18</v>
      </c>
      <c r="Q14" t="s">
        <v>22</v>
      </c>
      <c r="R14" t="s">
        <v>19</v>
      </c>
      <c r="U14">
        <v>0.22700000000000001</v>
      </c>
      <c r="V14">
        <v>0.26900000000000002</v>
      </c>
      <c r="W14">
        <f t="shared" si="3"/>
        <v>0.84386617100371741</v>
      </c>
    </row>
    <row r="15" spans="2:24">
      <c r="B15">
        <v>4.4000000000000004</v>
      </c>
      <c r="C15">
        <v>50</v>
      </c>
      <c r="D15">
        <v>0.2</v>
      </c>
      <c r="E15">
        <f t="shared" si="0"/>
        <v>10</v>
      </c>
      <c r="F15">
        <v>20</v>
      </c>
      <c r="G15">
        <v>0.25</v>
      </c>
      <c r="H15">
        <f t="shared" si="1"/>
        <v>5</v>
      </c>
      <c r="I15">
        <v>10</v>
      </c>
      <c r="J15">
        <v>1</v>
      </c>
      <c r="K15">
        <v>1</v>
      </c>
      <c r="L15">
        <v>0.2</v>
      </c>
      <c r="M15">
        <f t="shared" si="2"/>
        <v>0.2</v>
      </c>
      <c r="N15">
        <v>22</v>
      </c>
      <c r="O15">
        <v>1.5</v>
      </c>
      <c r="P15" t="s">
        <v>18</v>
      </c>
      <c r="Q15" t="s">
        <v>22</v>
      </c>
      <c r="R15" t="s">
        <v>19</v>
      </c>
      <c r="U15">
        <v>0.219</v>
      </c>
      <c r="V15">
        <v>0.22700000000000001</v>
      </c>
      <c r="W15">
        <f t="shared" si="3"/>
        <v>0.96475770925110127</v>
      </c>
    </row>
    <row r="16" spans="2:24">
      <c r="B16">
        <v>4.4000000000000004</v>
      </c>
      <c r="C16">
        <v>50</v>
      </c>
      <c r="D16">
        <v>0.2</v>
      </c>
      <c r="E16">
        <f t="shared" si="0"/>
        <v>10</v>
      </c>
      <c r="F16">
        <v>20</v>
      </c>
      <c r="G16">
        <v>0.25</v>
      </c>
      <c r="H16">
        <f t="shared" si="1"/>
        <v>5</v>
      </c>
      <c r="I16">
        <v>11</v>
      </c>
      <c r="J16">
        <v>1</v>
      </c>
      <c r="K16">
        <v>1</v>
      </c>
      <c r="L16">
        <v>0.2</v>
      </c>
      <c r="M16">
        <f t="shared" si="2"/>
        <v>0.2</v>
      </c>
      <c r="N16">
        <v>22</v>
      </c>
      <c r="O16">
        <v>1.5</v>
      </c>
      <c r="P16" t="s">
        <v>18</v>
      </c>
      <c r="Q16" t="s">
        <v>22</v>
      </c>
      <c r="R16" t="s">
        <v>19</v>
      </c>
      <c r="U16">
        <v>0.23799999999999999</v>
      </c>
      <c r="V16">
        <v>0.16500000000000001</v>
      </c>
      <c r="W16">
        <f t="shared" si="3"/>
        <v>1.4424242424242424</v>
      </c>
    </row>
    <row r="17" spans="1:24">
      <c r="B17">
        <v>4.4000000000000004</v>
      </c>
      <c r="C17">
        <v>50</v>
      </c>
      <c r="D17">
        <v>0.2</v>
      </c>
      <c r="E17">
        <f t="shared" si="0"/>
        <v>10</v>
      </c>
      <c r="F17">
        <v>20</v>
      </c>
      <c r="G17">
        <v>0.25</v>
      </c>
      <c r="H17">
        <f t="shared" si="1"/>
        <v>5</v>
      </c>
      <c r="I17">
        <v>12</v>
      </c>
      <c r="J17">
        <v>1</v>
      </c>
      <c r="K17">
        <v>1</v>
      </c>
      <c r="L17">
        <v>0.2</v>
      </c>
      <c r="M17">
        <f t="shared" si="2"/>
        <v>0.2</v>
      </c>
      <c r="N17">
        <v>22</v>
      </c>
      <c r="O17">
        <v>1.5</v>
      </c>
      <c r="P17" t="s">
        <v>18</v>
      </c>
      <c r="Q17" t="s">
        <v>22</v>
      </c>
      <c r="R17" t="s">
        <v>19</v>
      </c>
      <c r="U17">
        <v>0.27500000000000002</v>
      </c>
      <c r="V17">
        <v>0.156</v>
      </c>
      <c r="W17">
        <f t="shared" si="3"/>
        <v>1.762820512820513</v>
      </c>
    </row>
    <row r="18" spans="1:24">
      <c r="B18">
        <v>4.4000000000000004</v>
      </c>
      <c r="C18">
        <v>50</v>
      </c>
      <c r="D18">
        <v>0.2</v>
      </c>
      <c r="E18">
        <f t="shared" si="0"/>
        <v>10</v>
      </c>
      <c r="F18">
        <v>20</v>
      </c>
      <c r="G18">
        <v>0.25</v>
      </c>
      <c r="H18">
        <f t="shared" si="1"/>
        <v>5</v>
      </c>
      <c r="I18">
        <v>12.5</v>
      </c>
      <c r="J18">
        <v>1</v>
      </c>
      <c r="K18">
        <v>1</v>
      </c>
      <c r="L18">
        <v>0.2</v>
      </c>
      <c r="M18">
        <f t="shared" si="2"/>
        <v>0.2</v>
      </c>
      <c r="N18">
        <v>22</v>
      </c>
      <c r="O18">
        <v>1.5</v>
      </c>
      <c r="P18" t="s">
        <v>18</v>
      </c>
      <c r="Q18" t="s">
        <v>22</v>
      </c>
      <c r="R18" t="s">
        <v>19</v>
      </c>
      <c r="U18">
        <v>0.26</v>
      </c>
      <c r="V18">
        <v>0.13900000000000001</v>
      </c>
      <c r="W18">
        <f t="shared" si="3"/>
        <v>1.8705035971223021</v>
      </c>
    </row>
    <row r="19" spans="1:24">
      <c r="B19">
        <v>4.4000000000000004</v>
      </c>
      <c r="C19">
        <v>50</v>
      </c>
      <c r="D19">
        <v>0.2</v>
      </c>
      <c r="E19">
        <f t="shared" si="0"/>
        <v>10</v>
      </c>
      <c r="F19">
        <v>20</v>
      </c>
      <c r="G19">
        <v>0.25</v>
      </c>
      <c r="H19">
        <f t="shared" si="1"/>
        <v>5</v>
      </c>
      <c r="I19">
        <v>12.8</v>
      </c>
      <c r="J19">
        <v>1</v>
      </c>
      <c r="K19">
        <v>1</v>
      </c>
      <c r="L19">
        <v>0.2</v>
      </c>
      <c r="M19">
        <f t="shared" si="2"/>
        <v>0.2</v>
      </c>
      <c r="N19">
        <v>22</v>
      </c>
      <c r="O19">
        <v>1.5</v>
      </c>
      <c r="P19" t="s">
        <v>18</v>
      </c>
      <c r="Q19" t="s">
        <v>22</v>
      </c>
      <c r="R19" t="s">
        <v>19</v>
      </c>
      <c r="U19">
        <v>0.248</v>
      </c>
      <c r="V19">
        <v>0.17399999999999999</v>
      </c>
      <c r="W19">
        <f t="shared" si="3"/>
        <v>1.4252873563218391</v>
      </c>
    </row>
    <row r="20" spans="1:24">
      <c r="B20">
        <v>4.4000000000000004</v>
      </c>
      <c r="C20">
        <v>50</v>
      </c>
      <c r="D20">
        <v>0.2</v>
      </c>
      <c r="E20">
        <f t="shared" si="0"/>
        <v>10</v>
      </c>
      <c r="F20">
        <v>20</v>
      </c>
      <c r="G20">
        <v>0.25</v>
      </c>
      <c r="H20">
        <f t="shared" si="1"/>
        <v>5</v>
      </c>
      <c r="I20">
        <v>11.5</v>
      </c>
      <c r="J20">
        <v>1</v>
      </c>
      <c r="K20">
        <v>1</v>
      </c>
      <c r="L20">
        <v>0.2</v>
      </c>
      <c r="M20">
        <f t="shared" si="2"/>
        <v>0.2</v>
      </c>
      <c r="N20">
        <v>22</v>
      </c>
      <c r="O20">
        <v>1.5</v>
      </c>
      <c r="P20" t="s">
        <v>18</v>
      </c>
      <c r="Q20" t="s">
        <v>23</v>
      </c>
      <c r="R20" t="s">
        <v>19</v>
      </c>
      <c r="U20">
        <v>0.27700000000000002</v>
      </c>
      <c r="V20">
        <v>0.126</v>
      </c>
      <c r="W20">
        <f t="shared" si="3"/>
        <v>2.1984126984126986</v>
      </c>
      <c r="X20" t="s">
        <v>21</v>
      </c>
    </row>
    <row r="21" spans="1:24">
      <c r="B21">
        <v>4.4000000000000004</v>
      </c>
      <c r="C21">
        <v>50</v>
      </c>
      <c r="D21">
        <v>0.3</v>
      </c>
      <c r="E21">
        <f t="shared" si="0"/>
        <v>15</v>
      </c>
      <c r="F21">
        <v>20</v>
      </c>
      <c r="G21">
        <v>0.25</v>
      </c>
      <c r="H21">
        <f t="shared" si="1"/>
        <v>5</v>
      </c>
      <c r="I21">
        <v>11.5</v>
      </c>
      <c r="J21">
        <v>1</v>
      </c>
      <c r="K21">
        <v>1</v>
      </c>
      <c r="L21">
        <v>0.2</v>
      </c>
      <c r="M21">
        <f t="shared" si="2"/>
        <v>0.2</v>
      </c>
      <c r="N21">
        <v>22</v>
      </c>
      <c r="O21">
        <v>1.5</v>
      </c>
      <c r="P21" t="s">
        <v>18</v>
      </c>
      <c r="Q21" t="s">
        <v>23</v>
      </c>
      <c r="R21" t="s">
        <v>19</v>
      </c>
      <c r="U21">
        <v>0.17100000000000001</v>
      </c>
      <c r="V21">
        <v>0.221</v>
      </c>
      <c r="W21">
        <f t="shared" si="3"/>
        <v>0.77375565610859731</v>
      </c>
    </row>
    <row r="22" spans="1:24">
      <c r="B22">
        <v>4.4000000000000004</v>
      </c>
      <c r="C22">
        <v>50</v>
      </c>
      <c r="D22">
        <v>0.25</v>
      </c>
      <c r="E22">
        <f t="shared" si="0"/>
        <v>12.5</v>
      </c>
      <c r="F22">
        <v>20</v>
      </c>
      <c r="G22">
        <v>0.25</v>
      </c>
      <c r="H22">
        <f t="shared" si="1"/>
        <v>5</v>
      </c>
      <c r="I22">
        <v>11.5</v>
      </c>
      <c r="J22">
        <v>1</v>
      </c>
      <c r="K22">
        <v>1</v>
      </c>
      <c r="L22">
        <v>0.2</v>
      </c>
      <c r="M22">
        <f t="shared" si="2"/>
        <v>0.2</v>
      </c>
      <c r="N22">
        <v>22</v>
      </c>
      <c r="O22">
        <v>1.5</v>
      </c>
      <c r="P22" t="s">
        <v>18</v>
      </c>
      <c r="Q22" t="s">
        <v>23</v>
      </c>
      <c r="R22" t="s">
        <v>19</v>
      </c>
      <c r="U22">
        <v>0.21199999999999999</v>
      </c>
      <c r="V22">
        <v>0.25900000000000001</v>
      </c>
      <c r="W22">
        <f t="shared" si="3"/>
        <v>0.81853281853281845</v>
      </c>
    </row>
    <row r="23" spans="1:24">
      <c r="B23">
        <v>4.4000000000000004</v>
      </c>
      <c r="C23">
        <v>50</v>
      </c>
      <c r="D23">
        <v>0.15</v>
      </c>
      <c r="E23">
        <f t="shared" si="0"/>
        <v>7.5</v>
      </c>
      <c r="F23">
        <v>20</v>
      </c>
      <c r="G23">
        <v>0.25</v>
      </c>
      <c r="H23">
        <f t="shared" si="1"/>
        <v>5</v>
      </c>
      <c r="I23">
        <v>11.5</v>
      </c>
      <c r="J23">
        <v>1</v>
      </c>
      <c r="K23">
        <v>1</v>
      </c>
      <c r="L23">
        <v>0.2</v>
      </c>
      <c r="M23">
        <f t="shared" si="2"/>
        <v>0.2</v>
      </c>
      <c r="N23">
        <v>22</v>
      </c>
      <c r="O23">
        <v>1.5</v>
      </c>
      <c r="P23" t="s">
        <v>18</v>
      </c>
      <c r="Q23" t="s">
        <v>23</v>
      </c>
      <c r="R23" t="s">
        <v>19</v>
      </c>
      <c r="U23">
        <v>0.19600000000000001</v>
      </c>
      <c r="V23">
        <v>0.27800000000000002</v>
      </c>
      <c r="W23">
        <f t="shared" si="3"/>
        <v>0.70503597122302153</v>
      </c>
    </row>
    <row r="24" spans="1:24">
      <c r="B24">
        <v>4.4000000000000004</v>
      </c>
      <c r="C24">
        <v>50</v>
      </c>
      <c r="D24">
        <v>0.2</v>
      </c>
      <c r="E24">
        <f t="shared" si="0"/>
        <v>10</v>
      </c>
      <c r="F24">
        <v>20</v>
      </c>
      <c r="G24">
        <v>0.25</v>
      </c>
      <c r="H24">
        <f t="shared" si="1"/>
        <v>5</v>
      </c>
      <c r="I24">
        <v>10</v>
      </c>
      <c r="J24">
        <v>1</v>
      </c>
      <c r="K24">
        <v>1</v>
      </c>
      <c r="L24">
        <v>0.2</v>
      </c>
      <c r="M24">
        <f t="shared" si="2"/>
        <v>0.2</v>
      </c>
      <c r="N24">
        <v>22</v>
      </c>
      <c r="O24">
        <v>1.5</v>
      </c>
      <c r="P24" t="s">
        <v>18</v>
      </c>
      <c r="Q24" t="s">
        <v>23</v>
      </c>
      <c r="R24" t="s">
        <v>19</v>
      </c>
      <c r="U24">
        <v>0.23699999999999999</v>
      </c>
      <c r="V24">
        <v>0.221</v>
      </c>
      <c r="W24">
        <f t="shared" si="3"/>
        <v>1.0723981900452488</v>
      </c>
    </row>
    <row r="25" spans="1:24">
      <c r="B25">
        <v>4.4000000000000004</v>
      </c>
      <c r="C25">
        <v>50</v>
      </c>
      <c r="D25">
        <v>0.2</v>
      </c>
      <c r="E25">
        <f t="shared" si="0"/>
        <v>10</v>
      </c>
      <c r="F25">
        <v>20</v>
      </c>
      <c r="G25">
        <v>0.25</v>
      </c>
      <c r="H25">
        <f t="shared" si="1"/>
        <v>5</v>
      </c>
      <c r="I25">
        <v>11</v>
      </c>
      <c r="J25">
        <v>1</v>
      </c>
      <c r="K25">
        <v>1</v>
      </c>
      <c r="L25">
        <v>0.2</v>
      </c>
      <c r="M25">
        <f t="shared" si="2"/>
        <v>0.2</v>
      </c>
      <c r="N25">
        <v>22</v>
      </c>
      <c r="O25">
        <v>1.5</v>
      </c>
      <c r="P25" t="s">
        <v>18</v>
      </c>
      <c r="Q25" t="s">
        <v>23</v>
      </c>
      <c r="R25" t="s">
        <v>19</v>
      </c>
      <c r="U25">
        <v>0.249</v>
      </c>
      <c r="V25">
        <v>0.189</v>
      </c>
      <c r="W25">
        <f t="shared" si="3"/>
        <v>1.3174603174603174</v>
      </c>
    </row>
    <row r="26" spans="1:24">
      <c r="B26">
        <v>4.4000000000000004</v>
      </c>
      <c r="C26">
        <v>50</v>
      </c>
      <c r="D26">
        <v>0.2</v>
      </c>
      <c r="E26">
        <f t="shared" si="0"/>
        <v>10</v>
      </c>
      <c r="F26">
        <v>20</v>
      </c>
      <c r="G26">
        <v>0.25</v>
      </c>
      <c r="H26">
        <f t="shared" si="1"/>
        <v>5</v>
      </c>
      <c r="I26">
        <v>12</v>
      </c>
      <c r="J26">
        <v>1</v>
      </c>
      <c r="K26">
        <v>1</v>
      </c>
      <c r="L26">
        <v>0.2</v>
      </c>
      <c r="M26">
        <f t="shared" si="2"/>
        <v>0.2</v>
      </c>
      <c r="N26">
        <v>22</v>
      </c>
      <c r="O26">
        <v>1.5</v>
      </c>
      <c r="P26" t="s">
        <v>18</v>
      </c>
      <c r="Q26" t="s">
        <v>23</v>
      </c>
      <c r="R26" t="s">
        <v>19</v>
      </c>
      <c r="U26">
        <v>0.27400000000000002</v>
      </c>
      <c r="V26">
        <v>0.129</v>
      </c>
      <c r="W26">
        <f t="shared" si="3"/>
        <v>2.1240310077519382</v>
      </c>
    </row>
    <row r="27" spans="1:24">
      <c r="B27">
        <v>4.4000000000000004</v>
      </c>
      <c r="C27">
        <v>50</v>
      </c>
      <c r="D27">
        <v>0.2</v>
      </c>
      <c r="E27">
        <f t="shared" si="0"/>
        <v>10</v>
      </c>
      <c r="F27">
        <v>20</v>
      </c>
      <c r="G27">
        <v>0.25</v>
      </c>
      <c r="H27">
        <f t="shared" si="1"/>
        <v>5</v>
      </c>
      <c r="I27">
        <v>12.5</v>
      </c>
      <c r="J27">
        <v>1</v>
      </c>
      <c r="K27">
        <v>1</v>
      </c>
      <c r="L27">
        <v>0.2</v>
      </c>
      <c r="M27">
        <f t="shared" si="2"/>
        <v>0.2</v>
      </c>
      <c r="N27">
        <v>22</v>
      </c>
      <c r="O27">
        <v>1.5</v>
      </c>
      <c r="P27" t="s">
        <v>18</v>
      </c>
      <c r="Q27" t="s">
        <v>23</v>
      </c>
      <c r="R27" t="s">
        <v>19</v>
      </c>
      <c r="U27">
        <v>0.28199999999999997</v>
      </c>
      <c r="V27">
        <v>0.13800000000000001</v>
      </c>
      <c r="W27">
        <f t="shared" si="3"/>
        <v>2.043478260869565</v>
      </c>
    </row>
    <row r="28" spans="1:24">
      <c r="B28">
        <v>4.4000000000000004</v>
      </c>
      <c r="C28">
        <v>50</v>
      </c>
      <c r="D28">
        <v>0.2</v>
      </c>
      <c r="E28">
        <f t="shared" si="0"/>
        <v>10</v>
      </c>
      <c r="F28">
        <v>20</v>
      </c>
      <c r="G28">
        <v>0.25</v>
      </c>
      <c r="H28">
        <f t="shared" si="1"/>
        <v>5</v>
      </c>
      <c r="I28">
        <v>12.8</v>
      </c>
      <c r="J28">
        <v>1</v>
      </c>
      <c r="K28">
        <v>1</v>
      </c>
      <c r="L28">
        <v>0.2</v>
      </c>
      <c r="M28">
        <f t="shared" si="2"/>
        <v>0.2</v>
      </c>
      <c r="N28">
        <v>22</v>
      </c>
      <c r="O28">
        <v>1.5</v>
      </c>
      <c r="P28" t="s">
        <v>18</v>
      </c>
      <c r="Q28" t="s">
        <v>23</v>
      </c>
      <c r="R28" t="s">
        <v>19</v>
      </c>
      <c r="U28">
        <v>0.29799999999999999</v>
      </c>
      <c r="V28">
        <v>0.14699999999999999</v>
      </c>
      <c r="W28">
        <f t="shared" si="3"/>
        <v>2.0272108843537415</v>
      </c>
    </row>
    <row r="30" spans="1:24">
      <c r="A30" t="s">
        <v>341</v>
      </c>
    </row>
    <row r="31" spans="1:24">
      <c r="A31" t="s">
        <v>291</v>
      </c>
      <c r="B31" t="s">
        <v>292</v>
      </c>
      <c r="C31" t="s">
        <v>293</v>
      </c>
      <c r="D31" t="s">
        <v>1</v>
      </c>
      <c r="E31" t="s">
        <v>224</v>
      </c>
      <c r="F31" t="s">
        <v>336</v>
      </c>
      <c r="G31" t="s">
        <v>339</v>
      </c>
      <c r="H31" t="s">
        <v>338</v>
      </c>
      <c r="I31" t="s">
        <v>340</v>
      </c>
      <c r="J31" t="s">
        <v>337</v>
      </c>
      <c r="K31" t="s">
        <v>49</v>
      </c>
      <c r="L31" t="s">
        <v>50</v>
      </c>
      <c r="M31" t="s">
        <v>51</v>
      </c>
      <c r="N31" t="s">
        <v>52</v>
      </c>
      <c r="O31" t="s">
        <v>233</v>
      </c>
      <c r="P31" t="s">
        <v>232</v>
      </c>
      <c r="Q31" t="s">
        <v>49</v>
      </c>
      <c r="R31" t="s">
        <v>50</v>
      </c>
      <c r="S31" t="s">
        <v>51</v>
      </c>
      <c r="T31" t="s">
        <v>52</v>
      </c>
      <c r="U31" t="s">
        <v>233</v>
      </c>
      <c r="V31" t="s">
        <v>232</v>
      </c>
      <c r="W31" t="s">
        <v>53</v>
      </c>
    </row>
    <row r="33" spans="2:2">
      <c r="B33" t="s">
        <v>334</v>
      </c>
    </row>
    <row r="34" spans="2:2">
      <c r="B34">
        <v>1</v>
      </c>
    </row>
    <row r="35" spans="2:2">
      <c r="B35">
        <v>1</v>
      </c>
    </row>
    <row r="36" spans="2:2">
      <c r="B36">
        <v>1</v>
      </c>
    </row>
    <row r="37" spans="2:2">
      <c r="B37">
        <v>1</v>
      </c>
    </row>
    <row r="38" spans="2:2">
      <c r="B38">
        <v>1</v>
      </c>
    </row>
    <row r="39" spans="2:2">
      <c r="B39">
        <v>1</v>
      </c>
    </row>
    <row r="40" spans="2:2">
      <c r="B40">
        <v>1</v>
      </c>
    </row>
    <row r="41" spans="2:2">
      <c r="B41">
        <v>1</v>
      </c>
    </row>
    <row r="42" spans="2:2">
      <c r="B42">
        <v>1</v>
      </c>
    </row>
    <row r="43" spans="2:2">
      <c r="B43">
        <v>1</v>
      </c>
    </row>
    <row r="44" spans="2:2">
      <c r="B44">
        <v>1</v>
      </c>
    </row>
    <row r="45" spans="2:2">
      <c r="B45">
        <v>1</v>
      </c>
    </row>
    <row r="46" spans="2:2">
      <c r="B46">
        <v>1</v>
      </c>
    </row>
    <row r="47" spans="2:2">
      <c r="B47">
        <v>1</v>
      </c>
    </row>
    <row r="48" spans="2:2">
      <c r="B48">
        <v>1</v>
      </c>
    </row>
    <row r="49" spans="2:2">
      <c r="B49">
        <v>1</v>
      </c>
    </row>
    <row r="50" spans="2:2">
      <c r="B50">
        <v>1</v>
      </c>
    </row>
    <row r="51" spans="2:2">
      <c r="B51">
        <v>1</v>
      </c>
    </row>
    <row r="52" spans="2:2">
      <c r="B52">
        <v>1</v>
      </c>
    </row>
    <row r="53" spans="2:2">
      <c r="B53">
        <v>1</v>
      </c>
    </row>
    <row r="54" spans="2:2">
      <c r="B54">
        <v>1</v>
      </c>
    </row>
    <row r="55" spans="2:2">
      <c r="B55">
        <v>1</v>
      </c>
    </row>
    <row r="56" spans="2:2">
      <c r="B56">
        <v>1</v>
      </c>
    </row>
    <row r="57" spans="2:2">
      <c r="B57">
        <v>1</v>
      </c>
    </row>
    <row r="58" spans="2:2">
      <c r="B58">
        <v>1</v>
      </c>
    </row>
    <row r="59" spans="2:2">
      <c r="B59">
        <v>1</v>
      </c>
    </row>
    <row r="60" spans="2:2">
      <c r="B60">
        <v>1</v>
      </c>
    </row>
    <row r="61" spans="2:2">
      <c r="B61">
        <v>1</v>
      </c>
    </row>
    <row r="62" spans="2:2">
      <c r="B62">
        <v>1</v>
      </c>
    </row>
    <row r="63" spans="2:2">
      <c r="B63">
        <v>1</v>
      </c>
    </row>
    <row r="64" spans="2:2">
      <c r="B64">
        <v>1</v>
      </c>
    </row>
    <row r="65" spans="2:2">
      <c r="B65">
        <v>1</v>
      </c>
    </row>
    <row r="66" spans="2:2">
      <c r="B66">
        <v>1</v>
      </c>
    </row>
    <row r="67" spans="2:2">
      <c r="B67">
        <v>0</v>
      </c>
    </row>
    <row r="68" spans="2:2">
      <c r="B68">
        <v>1</v>
      </c>
    </row>
    <row r="69" spans="2:2">
      <c r="B69">
        <v>1</v>
      </c>
    </row>
    <row r="70" spans="2:2">
      <c r="B70">
        <v>1</v>
      </c>
    </row>
    <row r="71" spans="2:2">
      <c r="B71">
        <v>1</v>
      </c>
    </row>
    <row r="72" spans="2:2">
      <c r="B72">
        <v>0</v>
      </c>
    </row>
    <row r="73" spans="2:2">
      <c r="B73">
        <v>0</v>
      </c>
    </row>
    <row r="74" spans="2:2">
      <c r="B74">
        <v>1</v>
      </c>
    </row>
    <row r="75" spans="2:2">
      <c r="B75">
        <v>1</v>
      </c>
    </row>
    <row r="76" spans="2:2">
      <c r="B76">
        <v>0</v>
      </c>
    </row>
    <row r="77" spans="2:2">
      <c r="B77">
        <v>0</v>
      </c>
    </row>
    <row r="78" spans="2:2">
      <c r="B78">
        <v>0</v>
      </c>
    </row>
    <row r="79" spans="2:2">
      <c r="B79">
        <v>0</v>
      </c>
    </row>
    <row r="80" spans="2:2">
      <c r="B80">
        <v>1</v>
      </c>
    </row>
    <row r="81" spans="2:2">
      <c r="B81">
        <v>1</v>
      </c>
    </row>
    <row r="82" spans="2:2">
      <c r="B82">
        <v>1</v>
      </c>
    </row>
    <row r="83" spans="2:2">
      <c r="B83">
        <v>1</v>
      </c>
    </row>
    <row r="84" spans="2:2">
      <c r="B84">
        <v>1</v>
      </c>
    </row>
    <row r="85" spans="2:2">
      <c r="B85">
        <v>1</v>
      </c>
    </row>
    <row r="86" spans="2:2">
      <c r="B86">
        <v>1</v>
      </c>
    </row>
    <row r="87" spans="2:2">
      <c r="B87">
        <v>1</v>
      </c>
    </row>
    <row r="88" spans="2:2">
      <c r="B88">
        <v>1</v>
      </c>
    </row>
    <row r="89" spans="2:2">
      <c r="B89">
        <v>1</v>
      </c>
    </row>
    <row r="90" spans="2:2">
      <c r="B90">
        <v>1</v>
      </c>
    </row>
    <row r="91" spans="2:2">
      <c r="B91">
        <v>1</v>
      </c>
    </row>
    <row r="92" spans="2:2">
      <c r="B92">
        <v>1</v>
      </c>
    </row>
    <row r="93" spans="2:2">
      <c r="B93">
        <v>1</v>
      </c>
    </row>
    <row r="94" spans="2:2">
      <c r="B9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6"/>
  <sheetViews>
    <sheetView workbookViewId="0">
      <pane ySplit="1" topLeftCell="A17" activePane="bottomLeft" state="frozen"/>
      <selection pane="bottomLeft" activeCell="K23" sqref="K23"/>
    </sheetView>
  </sheetViews>
  <sheetFormatPr defaultRowHeight="15"/>
  <cols>
    <col min="9" max="9" width="16.85546875" bestFit="1" customWidth="1"/>
  </cols>
  <sheetData>
    <row r="1" spans="1:22">
      <c r="A1" t="s">
        <v>63</v>
      </c>
      <c r="B1" t="s">
        <v>16</v>
      </c>
      <c r="C1" t="s">
        <v>64</v>
      </c>
      <c r="D1" t="s">
        <v>0</v>
      </c>
      <c r="E1" t="s">
        <v>65</v>
      </c>
      <c r="F1" t="s">
        <v>66</v>
      </c>
      <c r="G1" t="s">
        <v>67</v>
      </c>
      <c r="H1" t="s">
        <v>68</v>
      </c>
      <c r="I1" s="1" t="s">
        <v>69</v>
      </c>
      <c r="J1" t="s">
        <v>70</v>
      </c>
      <c r="K1" t="s">
        <v>1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V1" t="s">
        <v>227</v>
      </c>
    </row>
    <row r="2" spans="1:22">
      <c r="A2" t="s">
        <v>77</v>
      </c>
      <c r="B2" t="s">
        <v>78</v>
      </c>
      <c r="C2" t="s">
        <v>79</v>
      </c>
      <c r="D2" t="s">
        <v>30</v>
      </c>
      <c r="E2">
        <v>900</v>
      </c>
      <c r="F2">
        <v>900</v>
      </c>
      <c r="G2" t="s">
        <v>80</v>
      </c>
      <c r="H2" t="s">
        <v>81</v>
      </c>
      <c r="I2">
        <v>20</v>
      </c>
      <c r="J2" t="s">
        <v>82</v>
      </c>
      <c r="L2">
        <v>0</v>
      </c>
      <c r="M2" t="s">
        <v>83</v>
      </c>
      <c r="N2" t="s">
        <v>84</v>
      </c>
      <c r="P2" t="s">
        <v>85</v>
      </c>
      <c r="Q2" t="s">
        <v>86</v>
      </c>
      <c r="V2" t="s">
        <v>300</v>
      </c>
    </row>
    <row r="3" spans="1:22">
      <c r="A3" t="s">
        <v>87</v>
      </c>
      <c r="B3" t="s">
        <v>43</v>
      </c>
      <c r="C3" t="s">
        <v>88</v>
      </c>
      <c r="D3" s="1" t="s">
        <v>89</v>
      </c>
      <c r="E3">
        <v>15400</v>
      </c>
      <c r="F3">
        <v>2560</v>
      </c>
      <c r="G3" t="s">
        <v>90</v>
      </c>
      <c r="H3" t="s">
        <v>19</v>
      </c>
      <c r="I3">
        <v>25.6</v>
      </c>
      <c r="J3" t="s">
        <v>91</v>
      </c>
      <c r="L3">
        <v>25</v>
      </c>
      <c r="M3" t="s">
        <v>92</v>
      </c>
      <c r="N3" t="s">
        <v>84</v>
      </c>
      <c r="P3" t="s">
        <v>299</v>
      </c>
      <c r="Q3" t="s">
        <v>93</v>
      </c>
    </row>
    <row r="4" spans="1:22">
      <c r="A4" t="s">
        <v>94</v>
      </c>
      <c r="B4" t="s">
        <v>44</v>
      </c>
      <c r="C4" t="s">
        <v>95</v>
      </c>
      <c r="D4" t="s">
        <v>31</v>
      </c>
      <c r="E4">
        <v>1000</v>
      </c>
      <c r="F4">
        <v>200</v>
      </c>
      <c r="G4" t="s">
        <v>96</v>
      </c>
      <c r="H4" t="s">
        <v>19</v>
      </c>
      <c r="I4">
        <v>2</v>
      </c>
      <c r="J4" t="s">
        <v>97</v>
      </c>
      <c r="M4" t="s">
        <v>98</v>
      </c>
      <c r="N4" t="s">
        <v>97</v>
      </c>
      <c r="O4" s="2"/>
      <c r="P4" t="s">
        <v>99</v>
      </c>
      <c r="Q4" t="s">
        <v>86</v>
      </c>
    </row>
    <row r="5" spans="1:22">
      <c r="A5" t="s">
        <v>100</v>
      </c>
      <c r="B5" t="s">
        <v>44</v>
      </c>
      <c r="D5" t="s">
        <v>29</v>
      </c>
      <c r="G5" t="s">
        <v>101</v>
      </c>
      <c r="H5" t="s">
        <v>19</v>
      </c>
      <c r="J5" t="s">
        <v>102</v>
      </c>
      <c r="L5">
        <v>4</v>
      </c>
      <c r="M5" t="s">
        <v>103</v>
      </c>
      <c r="N5" t="s">
        <v>104</v>
      </c>
      <c r="O5" t="s">
        <v>105</v>
      </c>
      <c r="P5" t="s">
        <v>106</v>
      </c>
      <c r="Q5" t="s">
        <v>86</v>
      </c>
    </row>
    <row r="6" spans="1:22">
      <c r="A6" t="s">
        <v>107</v>
      </c>
      <c r="B6" t="s">
        <v>108</v>
      </c>
      <c r="C6" t="s">
        <v>109</v>
      </c>
      <c r="D6" t="s">
        <v>29</v>
      </c>
      <c r="E6">
        <v>20</v>
      </c>
      <c r="F6">
        <v>10</v>
      </c>
      <c r="G6" t="s">
        <v>110</v>
      </c>
      <c r="H6" t="s">
        <v>111</v>
      </c>
      <c r="J6" t="s">
        <v>97</v>
      </c>
      <c r="K6">
        <v>11</v>
      </c>
      <c r="L6">
        <v>25</v>
      </c>
      <c r="M6" t="s">
        <v>112</v>
      </c>
      <c r="N6" t="s">
        <v>97</v>
      </c>
      <c r="P6" t="s">
        <v>106</v>
      </c>
      <c r="Q6" t="s">
        <v>113</v>
      </c>
    </row>
    <row r="7" spans="1:22">
      <c r="A7" t="s">
        <v>114</v>
      </c>
      <c r="B7" t="s">
        <v>78</v>
      </c>
      <c r="C7" t="s">
        <v>115</v>
      </c>
      <c r="D7" t="s">
        <v>32</v>
      </c>
      <c r="E7">
        <v>686</v>
      </c>
      <c r="F7">
        <v>254</v>
      </c>
      <c r="G7" t="s">
        <v>116</v>
      </c>
      <c r="H7" t="s">
        <v>19</v>
      </c>
      <c r="I7">
        <v>0.68700000000000006</v>
      </c>
      <c r="J7" t="s">
        <v>117</v>
      </c>
      <c r="L7">
        <v>25</v>
      </c>
      <c r="M7" t="s">
        <v>118</v>
      </c>
      <c r="N7" t="s">
        <v>84</v>
      </c>
      <c r="P7" t="s">
        <v>119</v>
      </c>
    </row>
    <row r="8" spans="1:22">
      <c r="A8" t="s">
        <v>120</v>
      </c>
      <c r="B8" t="s">
        <v>121</v>
      </c>
      <c r="C8" t="s">
        <v>122</v>
      </c>
      <c r="D8" t="s">
        <v>33</v>
      </c>
      <c r="G8" t="s">
        <v>123</v>
      </c>
      <c r="H8" t="s">
        <v>19</v>
      </c>
      <c r="N8" t="s">
        <v>84</v>
      </c>
      <c r="O8" t="s">
        <v>124</v>
      </c>
      <c r="P8" t="s">
        <v>125</v>
      </c>
      <c r="Q8" t="s">
        <v>126</v>
      </c>
      <c r="V8" t="s">
        <v>228</v>
      </c>
    </row>
    <row r="9" spans="1:22">
      <c r="A9" t="s">
        <v>127</v>
      </c>
      <c r="B9" t="s">
        <v>128</v>
      </c>
      <c r="C9" t="s">
        <v>129</v>
      </c>
      <c r="D9" t="s">
        <v>130</v>
      </c>
      <c r="E9">
        <v>4000</v>
      </c>
      <c r="F9">
        <v>1000</v>
      </c>
      <c r="G9" t="s">
        <v>131</v>
      </c>
      <c r="H9" t="s">
        <v>132</v>
      </c>
      <c r="I9">
        <v>10</v>
      </c>
      <c r="J9" t="s">
        <v>133</v>
      </c>
      <c r="L9">
        <v>25</v>
      </c>
      <c r="M9" t="s">
        <v>134</v>
      </c>
      <c r="N9" t="s">
        <v>84</v>
      </c>
      <c r="P9" s="3" t="s">
        <v>135</v>
      </c>
      <c r="Q9" t="s">
        <v>126</v>
      </c>
    </row>
    <row r="10" spans="1:22" ht="165">
      <c r="A10" t="s">
        <v>136</v>
      </c>
      <c r="B10" t="s">
        <v>137</v>
      </c>
      <c r="C10" t="s">
        <v>138</v>
      </c>
      <c r="D10" t="s">
        <v>139</v>
      </c>
      <c r="E10">
        <v>10</v>
      </c>
      <c r="F10">
        <v>5</v>
      </c>
      <c r="G10" t="s">
        <v>110</v>
      </c>
      <c r="H10" s="2" t="s">
        <v>140</v>
      </c>
      <c r="I10">
        <v>0.01</v>
      </c>
      <c r="J10" t="s">
        <v>97</v>
      </c>
      <c r="K10" t="s">
        <v>141</v>
      </c>
      <c r="L10">
        <v>25</v>
      </c>
      <c r="M10" t="s">
        <v>142</v>
      </c>
      <c r="N10" t="s">
        <v>84</v>
      </c>
      <c r="P10" t="s">
        <v>143</v>
      </c>
      <c r="Q10" t="s">
        <v>126</v>
      </c>
    </row>
    <row r="11" spans="1:22">
      <c r="A11" t="s">
        <v>144</v>
      </c>
      <c r="B11" t="s">
        <v>137</v>
      </c>
      <c r="C11" t="s">
        <v>138</v>
      </c>
      <c r="D11" t="s">
        <v>145</v>
      </c>
      <c r="E11">
        <v>10</v>
      </c>
      <c r="F11">
        <v>5</v>
      </c>
      <c r="G11" t="s">
        <v>110</v>
      </c>
      <c r="H11" t="s">
        <v>19</v>
      </c>
      <c r="I11">
        <v>0.01</v>
      </c>
      <c r="J11" t="s">
        <v>97</v>
      </c>
      <c r="K11" t="s">
        <v>141</v>
      </c>
      <c r="L11">
        <v>25</v>
      </c>
      <c r="M11" t="s">
        <v>142</v>
      </c>
      <c r="N11" t="s">
        <v>84</v>
      </c>
      <c r="P11" t="s">
        <v>143</v>
      </c>
      <c r="Q11" t="s">
        <v>126</v>
      </c>
    </row>
    <row r="12" spans="1:22">
      <c r="A12" t="s">
        <v>146</v>
      </c>
      <c r="B12" t="s">
        <v>137</v>
      </c>
      <c r="C12" t="s">
        <v>138</v>
      </c>
      <c r="D12" t="s">
        <v>147</v>
      </c>
      <c r="E12">
        <v>10</v>
      </c>
      <c r="F12">
        <v>5</v>
      </c>
      <c r="G12" t="s">
        <v>110</v>
      </c>
      <c r="H12" t="s">
        <v>132</v>
      </c>
      <c r="I12">
        <v>0.01</v>
      </c>
      <c r="J12" t="s">
        <v>97</v>
      </c>
      <c r="K12" t="s">
        <v>141</v>
      </c>
      <c r="L12">
        <v>25</v>
      </c>
      <c r="M12" t="s">
        <v>142</v>
      </c>
      <c r="N12" t="s">
        <v>84</v>
      </c>
      <c r="P12" t="s">
        <v>143</v>
      </c>
      <c r="Q12" t="s">
        <v>126</v>
      </c>
    </row>
    <row r="13" spans="1:22">
      <c r="A13" t="s">
        <v>148</v>
      </c>
      <c r="B13" t="s">
        <v>149</v>
      </c>
      <c r="C13" t="s">
        <v>138</v>
      </c>
      <c r="D13" t="s">
        <v>150</v>
      </c>
      <c r="E13">
        <v>10</v>
      </c>
      <c r="F13">
        <v>5</v>
      </c>
      <c r="G13" t="s">
        <v>110</v>
      </c>
      <c r="H13" t="s">
        <v>19</v>
      </c>
      <c r="I13">
        <v>0.01</v>
      </c>
      <c r="J13" t="s">
        <v>97</v>
      </c>
      <c r="K13" t="s">
        <v>141</v>
      </c>
      <c r="L13">
        <v>25</v>
      </c>
      <c r="M13" t="s">
        <v>142</v>
      </c>
      <c r="N13" t="s">
        <v>84</v>
      </c>
      <c r="P13" t="s">
        <v>143</v>
      </c>
      <c r="Q13" t="s">
        <v>126</v>
      </c>
    </row>
    <row r="14" spans="1:22">
      <c r="A14" t="s">
        <v>151</v>
      </c>
      <c r="B14" t="s">
        <v>152</v>
      </c>
      <c r="C14" t="s">
        <v>138</v>
      </c>
      <c r="D14" t="s">
        <v>153</v>
      </c>
      <c r="E14">
        <v>10</v>
      </c>
      <c r="F14">
        <v>5</v>
      </c>
      <c r="G14" t="s">
        <v>110</v>
      </c>
      <c r="H14" t="s">
        <v>132</v>
      </c>
      <c r="I14">
        <v>0.01</v>
      </c>
      <c r="J14" t="s">
        <v>97</v>
      </c>
      <c r="K14" t="s">
        <v>141</v>
      </c>
      <c r="L14">
        <v>25</v>
      </c>
      <c r="M14" t="s">
        <v>142</v>
      </c>
      <c r="N14" t="s">
        <v>84</v>
      </c>
      <c r="P14" t="s">
        <v>143</v>
      </c>
      <c r="Q14" t="s">
        <v>154</v>
      </c>
    </row>
    <row r="15" spans="1:22">
      <c r="A15" t="s">
        <v>136</v>
      </c>
      <c r="B15" t="s">
        <v>155</v>
      </c>
      <c r="C15" t="s">
        <v>138</v>
      </c>
      <c r="D15" t="s">
        <v>156</v>
      </c>
      <c r="E15">
        <v>10</v>
      </c>
      <c r="F15">
        <v>5</v>
      </c>
      <c r="G15" t="s">
        <v>110</v>
      </c>
      <c r="H15" t="s">
        <v>157</v>
      </c>
      <c r="J15" t="s">
        <v>97</v>
      </c>
      <c r="K15">
        <v>12</v>
      </c>
      <c r="M15" t="s">
        <v>158</v>
      </c>
      <c r="N15" t="s">
        <v>84</v>
      </c>
      <c r="P15" t="s">
        <v>159</v>
      </c>
      <c r="Q15" t="s">
        <v>160</v>
      </c>
    </row>
    <row r="16" spans="1:22">
      <c r="A16" t="s">
        <v>161</v>
      </c>
      <c r="B16" t="s">
        <v>155</v>
      </c>
      <c r="C16" t="s">
        <v>138</v>
      </c>
      <c r="D16" t="s">
        <v>162</v>
      </c>
      <c r="E16">
        <v>10</v>
      </c>
      <c r="F16">
        <v>5</v>
      </c>
      <c r="G16" t="s">
        <v>110</v>
      </c>
      <c r="H16" t="s">
        <v>157</v>
      </c>
      <c r="J16" t="s">
        <v>97</v>
      </c>
      <c r="K16">
        <v>12</v>
      </c>
      <c r="M16" t="s">
        <v>158</v>
      </c>
      <c r="N16" t="s">
        <v>84</v>
      </c>
      <c r="P16" t="s">
        <v>159</v>
      </c>
      <c r="Q16" t="s">
        <v>160</v>
      </c>
    </row>
    <row r="17" spans="1:17">
      <c r="A17" t="s">
        <v>163</v>
      </c>
      <c r="B17" t="s">
        <v>155</v>
      </c>
      <c r="D17" t="s">
        <v>164</v>
      </c>
      <c r="H17" t="s">
        <v>157</v>
      </c>
      <c r="O17" t="s">
        <v>165</v>
      </c>
      <c r="P17" t="s">
        <v>159</v>
      </c>
      <c r="Q17" t="s">
        <v>160</v>
      </c>
    </row>
    <row r="18" spans="1:17">
      <c r="A18" t="s">
        <v>166</v>
      </c>
      <c r="B18" t="s">
        <v>155</v>
      </c>
      <c r="D18" t="s">
        <v>167</v>
      </c>
      <c r="H18" t="s">
        <v>157</v>
      </c>
      <c r="O18" t="s">
        <v>165</v>
      </c>
      <c r="P18" t="s">
        <v>159</v>
      </c>
      <c r="Q18" t="s">
        <v>168</v>
      </c>
    </row>
    <row r="19" spans="1:17">
      <c r="A19" t="s">
        <v>169</v>
      </c>
      <c r="B19" t="s">
        <v>170</v>
      </c>
      <c r="H19" t="s">
        <v>171</v>
      </c>
      <c r="O19" t="s">
        <v>172</v>
      </c>
      <c r="P19" t="s">
        <v>173</v>
      </c>
      <c r="Q19" t="s">
        <v>126</v>
      </c>
    </row>
    <row r="20" spans="1:17">
      <c r="A20" t="s">
        <v>174</v>
      </c>
      <c r="B20" t="s">
        <v>175</v>
      </c>
      <c r="C20" t="s">
        <v>176</v>
      </c>
      <c r="D20" t="s">
        <v>39</v>
      </c>
      <c r="E20">
        <v>20</v>
      </c>
      <c r="F20">
        <v>100</v>
      </c>
      <c r="G20" t="s">
        <v>177</v>
      </c>
      <c r="H20" t="s">
        <v>178</v>
      </c>
      <c r="I20">
        <v>1</v>
      </c>
      <c r="J20" t="s">
        <v>97</v>
      </c>
      <c r="M20" t="s">
        <v>179</v>
      </c>
      <c r="N20" t="s">
        <v>84</v>
      </c>
      <c r="P20" t="s">
        <v>180</v>
      </c>
      <c r="Q20" t="s">
        <v>126</v>
      </c>
    </row>
    <row r="21" spans="1:17" ht="15.75">
      <c r="A21" t="s">
        <v>181</v>
      </c>
      <c r="B21" t="s">
        <v>175</v>
      </c>
      <c r="C21" t="s">
        <v>182</v>
      </c>
      <c r="D21" s="1" t="s">
        <v>183</v>
      </c>
      <c r="E21">
        <v>625</v>
      </c>
      <c r="F21">
        <v>125</v>
      </c>
      <c r="G21" t="s">
        <v>184</v>
      </c>
      <c r="H21" t="s">
        <v>178</v>
      </c>
      <c r="I21">
        <v>1.25</v>
      </c>
      <c r="J21" t="s">
        <v>185</v>
      </c>
      <c r="M21" t="s">
        <v>186</v>
      </c>
      <c r="N21" t="s">
        <v>187</v>
      </c>
      <c r="P21" s="4" t="s">
        <v>188</v>
      </c>
      <c r="Q21" t="s">
        <v>189</v>
      </c>
    </row>
    <row r="22" spans="1:17">
      <c r="A22" t="s">
        <v>190</v>
      </c>
      <c r="B22" t="s">
        <v>191</v>
      </c>
      <c r="C22" t="s">
        <v>192</v>
      </c>
      <c r="D22" t="s">
        <v>193</v>
      </c>
      <c r="E22">
        <v>2000</v>
      </c>
      <c r="F22">
        <v>500</v>
      </c>
      <c r="G22" t="s">
        <v>194</v>
      </c>
      <c r="H22" t="s">
        <v>178</v>
      </c>
      <c r="I22">
        <v>5</v>
      </c>
      <c r="J22" t="s">
        <v>195</v>
      </c>
      <c r="L22">
        <v>0</v>
      </c>
      <c r="M22" t="s">
        <v>196</v>
      </c>
      <c r="N22" t="s">
        <v>197</v>
      </c>
      <c r="P22" s="5" t="s">
        <v>198</v>
      </c>
      <c r="Q22" t="s">
        <v>126</v>
      </c>
    </row>
    <row r="23" spans="1:17">
      <c r="A23" t="s">
        <v>199</v>
      </c>
      <c r="B23" t="s">
        <v>155</v>
      </c>
      <c r="C23" t="s">
        <v>200</v>
      </c>
      <c r="D23" t="s">
        <v>153</v>
      </c>
      <c r="E23">
        <v>500</v>
      </c>
      <c r="F23">
        <v>250</v>
      </c>
      <c r="G23" t="s">
        <v>201</v>
      </c>
      <c r="H23" t="s">
        <v>202</v>
      </c>
      <c r="J23" t="s">
        <v>187</v>
      </c>
      <c r="K23">
        <v>7</v>
      </c>
      <c r="L23">
        <v>25</v>
      </c>
      <c r="M23" t="s">
        <v>203</v>
      </c>
      <c r="N23" t="s">
        <v>204</v>
      </c>
      <c r="P23" s="6" t="s">
        <v>205</v>
      </c>
      <c r="Q23" t="s">
        <v>126</v>
      </c>
    </row>
    <row r="24" spans="1:17">
      <c r="A24" t="s">
        <v>206</v>
      </c>
      <c r="B24" t="s">
        <v>207</v>
      </c>
      <c r="C24" t="s">
        <v>200</v>
      </c>
      <c r="D24" t="s">
        <v>153</v>
      </c>
      <c r="E24">
        <v>500</v>
      </c>
      <c r="F24">
        <v>250</v>
      </c>
      <c r="G24" t="s">
        <v>201</v>
      </c>
      <c r="H24" t="s">
        <v>202</v>
      </c>
      <c r="J24" t="s">
        <v>187</v>
      </c>
      <c r="K24">
        <v>9</v>
      </c>
      <c r="L24">
        <v>25</v>
      </c>
      <c r="M24" t="s">
        <v>203</v>
      </c>
      <c r="N24" t="s">
        <v>204</v>
      </c>
      <c r="P24" s="6" t="s">
        <v>205</v>
      </c>
      <c r="Q24" t="s">
        <v>126</v>
      </c>
    </row>
    <row r="25" spans="1:17">
      <c r="A25" t="s">
        <v>208</v>
      </c>
      <c r="B25" t="s">
        <v>155</v>
      </c>
      <c r="C25" t="s">
        <v>200</v>
      </c>
      <c r="D25" t="s">
        <v>153</v>
      </c>
      <c r="E25">
        <v>500</v>
      </c>
      <c r="F25">
        <v>250</v>
      </c>
      <c r="G25" t="s">
        <v>201</v>
      </c>
      <c r="H25" t="s">
        <v>202</v>
      </c>
      <c r="J25" t="s">
        <v>187</v>
      </c>
      <c r="K25">
        <v>10</v>
      </c>
      <c r="L25">
        <v>25</v>
      </c>
      <c r="M25" t="s">
        <v>203</v>
      </c>
      <c r="N25" t="s">
        <v>204</v>
      </c>
      <c r="P25" s="6" t="s">
        <v>205</v>
      </c>
      <c r="Q25" t="s">
        <v>126</v>
      </c>
    </row>
    <row r="26" spans="1:17">
      <c r="A26" t="s">
        <v>209</v>
      </c>
      <c r="B26" t="s">
        <v>155</v>
      </c>
      <c r="C26" t="s">
        <v>200</v>
      </c>
      <c r="D26" t="s">
        <v>153</v>
      </c>
      <c r="E26">
        <v>500</v>
      </c>
      <c r="F26">
        <v>250</v>
      </c>
      <c r="G26" t="s">
        <v>201</v>
      </c>
      <c r="H26" t="s">
        <v>202</v>
      </c>
      <c r="J26" t="s">
        <v>187</v>
      </c>
      <c r="K26">
        <v>11</v>
      </c>
      <c r="L26">
        <v>25</v>
      </c>
      <c r="M26" t="s">
        <v>203</v>
      </c>
      <c r="N26" t="s">
        <v>204</v>
      </c>
      <c r="P26" s="6" t="s">
        <v>205</v>
      </c>
      <c r="Q26" t="s">
        <v>126</v>
      </c>
    </row>
    <row r="27" spans="1:17">
      <c r="A27" t="s">
        <v>210</v>
      </c>
      <c r="B27" t="s">
        <v>155</v>
      </c>
      <c r="C27" t="s">
        <v>200</v>
      </c>
      <c r="D27" t="s">
        <v>156</v>
      </c>
      <c r="E27">
        <v>500</v>
      </c>
      <c r="F27">
        <v>250</v>
      </c>
      <c r="G27" t="s">
        <v>201</v>
      </c>
      <c r="H27" t="s">
        <v>202</v>
      </c>
      <c r="J27" t="s">
        <v>187</v>
      </c>
      <c r="K27">
        <v>10</v>
      </c>
      <c r="L27">
        <v>25</v>
      </c>
      <c r="M27" t="s">
        <v>203</v>
      </c>
      <c r="N27" t="s">
        <v>204</v>
      </c>
      <c r="P27" s="6" t="s">
        <v>205</v>
      </c>
      <c r="Q27" t="s">
        <v>126</v>
      </c>
    </row>
    <row r="28" spans="1:17">
      <c r="A28" t="s">
        <v>211</v>
      </c>
      <c r="B28" t="s">
        <v>155</v>
      </c>
      <c r="C28" t="s">
        <v>200</v>
      </c>
      <c r="D28" t="s">
        <v>156</v>
      </c>
      <c r="E28">
        <v>500</v>
      </c>
      <c r="F28">
        <v>250</v>
      </c>
      <c r="G28" t="s">
        <v>201</v>
      </c>
      <c r="H28" t="s">
        <v>202</v>
      </c>
      <c r="J28" t="s">
        <v>187</v>
      </c>
      <c r="K28">
        <v>11</v>
      </c>
      <c r="L28">
        <v>25</v>
      </c>
      <c r="M28" t="s">
        <v>203</v>
      </c>
      <c r="N28" t="s">
        <v>204</v>
      </c>
      <c r="P28" s="6" t="s">
        <v>205</v>
      </c>
      <c r="Q28" t="s">
        <v>126</v>
      </c>
    </row>
    <row r="29" spans="1:17">
      <c r="A29" t="s">
        <v>136</v>
      </c>
      <c r="B29" t="s">
        <v>155</v>
      </c>
      <c r="C29" t="s">
        <v>200</v>
      </c>
      <c r="D29" t="s">
        <v>156</v>
      </c>
      <c r="E29">
        <v>500</v>
      </c>
      <c r="F29">
        <v>250</v>
      </c>
      <c r="G29" t="s">
        <v>201</v>
      </c>
      <c r="H29" t="s">
        <v>202</v>
      </c>
      <c r="J29" t="s">
        <v>187</v>
      </c>
      <c r="K29">
        <v>12</v>
      </c>
      <c r="L29">
        <v>25</v>
      </c>
      <c r="M29" t="s">
        <v>203</v>
      </c>
      <c r="N29" t="s">
        <v>204</v>
      </c>
      <c r="P29" s="6" t="s">
        <v>205</v>
      </c>
      <c r="Q29" t="s">
        <v>212</v>
      </c>
    </row>
    <row r="30" spans="1:17">
      <c r="A30" t="s">
        <v>213</v>
      </c>
      <c r="B30" t="s">
        <v>214</v>
      </c>
      <c r="C30" t="s">
        <v>215</v>
      </c>
      <c r="D30" s="1" t="s">
        <v>216</v>
      </c>
      <c r="E30">
        <v>1021</v>
      </c>
      <c r="F30">
        <v>250</v>
      </c>
      <c r="G30" t="s">
        <v>217</v>
      </c>
      <c r="H30" t="s">
        <v>19</v>
      </c>
      <c r="I30">
        <v>0.5</v>
      </c>
      <c r="J30" t="s">
        <v>187</v>
      </c>
      <c r="M30" t="s">
        <v>218</v>
      </c>
      <c r="N30" t="s">
        <v>204</v>
      </c>
      <c r="P30" t="s">
        <v>219</v>
      </c>
    </row>
    <row r="32" spans="1:17">
      <c r="A32" t="s">
        <v>301</v>
      </c>
      <c r="B32" t="s">
        <v>46</v>
      </c>
      <c r="C32" t="s">
        <v>302</v>
      </c>
      <c r="D32" s="19" t="s">
        <v>38</v>
      </c>
      <c r="E32">
        <v>2000</v>
      </c>
      <c r="F32">
        <v>500</v>
      </c>
      <c r="G32" t="s">
        <v>131</v>
      </c>
      <c r="H32" t="s">
        <v>19</v>
      </c>
      <c r="I32" t="s">
        <v>303</v>
      </c>
      <c r="J32" t="s">
        <v>304</v>
      </c>
      <c r="L32">
        <v>0</v>
      </c>
      <c r="N32" t="s">
        <v>97</v>
      </c>
      <c r="P32" s="19" t="s">
        <v>305</v>
      </c>
      <c r="Q32" t="s">
        <v>306</v>
      </c>
    </row>
    <row r="33" spans="1:17">
      <c r="A33" t="s">
        <v>307</v>
      </c>
      <c r="B33" t="s">
        <v>308</v>
      </c>
      <c r="C33" t="s">
        <v>309</v>
      </c>
      <c r="D33" s="19" t="s">
        <v>318</v>
      </c>
      <c r="E33">
        <v>1590</v>
      </c>
      <c r="F33">
        <v>300</v>
      </c>
      <c r="G33" t="s">
        <v>310</v>
      </c>
      <c r="H33" t="s">
        <v>19</v>
      </c>
      <c r="I33" t="s">
        <v>311</v>
      </c>
      <c r="J33" t="s">
        <v>97</v>
      </c>
      <c r="L33">
        <v>25</v>
      </c>
      <c r="N33" t="s">
        <v>97</v>
      </c>
      <c r="P33" t="s">
        <v>312</v>
      </c>
      <c r="Q33" t="s">
        <v>93</v>
      </c>
    </row>
    <row r="34" spans="1:17">
      <c r="A34" t="s">
        <v>313</v>
      </c>
      <c r="B34" t="s">
        <v>44</v>
      </c>
      <c r="C34" t="s">
        <v>314</v>
      </c>
      <c r="D34" s="6" t="s">
        <v>40</v>
      </c>
      <c r="E34">
        <v>1600</v>
      </c>
      <c r="F34">
        <v>300</v>
      </c>
      <c r="G34" t="s">
        <v>310</v>
      </c>
      <c r="H34" t="s">
        <v>19</v>
      </c>
      <c r="I34" t="s">
        <v>311</v>
      </c>
      <c r="J34" t="s">
        <v>97</v>
      </c>
      <c r="L34">
        <v>25</v>
      </c>
      <c r="N34" t="s">
        <v>84</v>
      </c>
      <c r="P34" t="s">
        <v>315</v>
      </c>
      <c r="Q34" t="s">
        <v>306</v>
      </c>
    </row>
    <row r="35" spans="1:17">
      <c r="A35" t="s">
        <v>316</v>
      </c>
      <c r="B35" t="s">
        <v>44</v>
      </c>
      <c r="C35" t="s">
        <v>317</v>
      </c>
      <c r="D35" s="19" t="s">
        <v>318</v>
      </c>
      <c r="E35">
        <v>3180</v>
      </c>
      <c r="F35">
        <v>600</v>
      </c>
      <c r="G35" t="s">
        <v>310</v>
      </c>
      <c r="H35" t="s">
        <v>19</v>
      </c>
      <c r="I35" t="s">
        <v>319</v>
      </c>
      <c r="J35" t="s">
        <v>97</v>
      </c>
      <c r="L35">
        <v>0</v>
      </c>
      <c r="N35" t="s">
        <v>84</v>
      </c>
      <c r="P35" t="s">
        <v>320</v>
      </c>
      <c r="Q35" t="s">
        <v>306</v>
      </c>
    </row>
    <row r="36" spans="1:17">
      <c r="A36" t="s">
        <v>321</v>
      </c>
      <c r="B36" s="6" t="s">
        <v>47</v>
      </c>
      <c r="C36" t="s">
        <v>314</v>
      </c>
      <c r="D36" t="s">
        <v>322</v>
      </c>
      <c r="E36">
        <v>420</v>
      </c>
      <c r="F36">
        <v>210</v>
      </c>
      <c r="G36" t="s">
        <v>110</v>
      </c>
      <c r="H36" t="s">
        <v>19</v>
      </c>
      <c r="I36" t="s">
        <v>323</v>
      </c>
      <c r="J36" t="s">
        <v>324</v>
      </c>
      <c r="L36">
        <v>25</v>
      </c>
      <c r="N36" t="s">
        <v>84</v>
      </c>
      <c r="P36" s="19" t="s">
        <v>325</v>
      </c>
      <c r="Q36" t="s">
        <v>326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2"/>
  <sheetViews>
    <sheetView workbookViewId="0">
      <selection sqref="A1:A1048576"/>
    </sheetView>
  </sheetViews>
  <sheetFormatPr defaultRowHeight="15"/>
  <sheetData>
    <row r="1" spans="1:2">
      <c r="A1" t="s">
        <v>334</v>
      </c>
      <c r="B1" t="s">
        <v>335</v>
      </c>
    </row>
    <row r="2" spans="1:2">
      <c r="A2">
        <v>1</v>
      </c>
      <c r="B2">
        <v>1</v>
      </c>
    </row>
    <row r="3" spans="1:2">
      <c r="A3">
        <v>1</v>
      </c>
      <c r="B3">
        <v>1</v>
      </c>
    </row>
    <row r="4" spans="1:2">
      <c r="A4">
        <v>1</v>
      </c>
      <c r="B4">
        <v>1</v>
      </c>
    </row>
    <row r="5" spans="1:2">
      <c r="A5">
        <v>1</v>
      </c>
      <c r="B5">
        <v>1</v>
      </c>
    </row>
    <row r="6" spans="1:2">
      <c r="A6">
        <v>1</v>
      </c>
      <c r="B6">
        <v>1</v>
      </c>
    </row>
    <row r="7" spans="1:2">
      <c r="A7">
        <v>1</v>
      </c>
      <c r="B7">
        <v>1</v>
      </c>
    </row>
    <row r="8" spans="1:2">
      <c r="A8">
        <v>1</v>
      </c>
      <c r="B8">
        <v>1</v>
      </c>
    </row>
    <row r="9" spans="1:2">
      <c r="A9">
        <v>1</v>
      </c>
      <c r="B9">
        <v>1</v>
      </c>
    </row>
    <row r="10" spans="1:2">
      <c r="A10">
        <v>1</v>
      </c>
      <c r="B10">
        <v>1</v>
      </c>
    </row>
    <row r="11" spans="1:2">
      <c r="A11">
        <v>1</v>
      </c>
      <c r="B11">
        <v>1</v>
      </c>
    </row>
    <row r="12" spans="1:2">
      <c r="A12">
        <v>1</v>
      </c>
      <c r="B12">
        <v>1</v>
      </c>
    </row>
    <row r="13" spans="1:2">
      <c r="A13">
        <v>1</v>
      </c>
      <c r="B13">
        <v>1</v>
      </c>
    </row>
    <row r="14" spans="1:2">
      <c r="A14">
        <v>1</v>
      </c>
      <c r="B14">
        <v>1</v>
      </c>
    </row>
    <row r="15" spans="1:2">
      <c r="A15">
        <v>1</v>
      </c>
      <c r="B15">
        <v>1</v>
      </c>
    </row>
    <row r="16" spans="1:2">
      <c r="A16">
        <v>1</v>
      </c>
      <c r="B16">
        <v>1</v>
      </c>
    </row>
    <row r="17" spans="1:2">
      <c r="A17">
        <v>1</v>
      </c>
      <c r="B17">
        <v>1</v>
      </c>
    </row>
    <row r="18" spans="1:2">
      <c r="A18">
        <v>1</v>
      </c>
      <c r="B18">
        <v>1</v>
      </c>
    </row>
    <row r="19" spans="1:2">
      <c r="A19">
        <v>1</v>
      </c>
      <c r="B19">
        <v>1</v>
      </c>
    </row>
    <row r="20" spans="1:2">
      <c r="A20">
        <v>1</v>
      </c>
      <c r="B20">
        <v>1</v>
      </c>
    </row>
    <row r="21" spans="1:2">
      <c r="A21">
        <v>1</v>
      </c>
      <c r="B21">
        <v>1</v>
      </c>
    </row>
    <row r="22" spans="1:2">
      <c r="A22">
        <v>1</v>
      </c>
      <c r="B22">
        <v>1</v>
      </c>
    </row>
    <row r="23" spans="1:2">
      <c r="A23">
        <v>1</v>
      </c>
      <c r="B23">
        <v>1</v>
      </c>
    </row>
    <row r="24" spans="1:2">
      <c r="A24">
        <v>1</v>
      </c>
      <c r="B24">
        <v>1</v>
      </c>
    </row>
    <row r="25" spans="1:2">
      <c r="A25">
        <v>1</v>
      </c>
      <c r="B25">
        <v>1</v>
      </c>
    </row>
    <row r="26" spans="1:2">
      <c r="A26">
        <v>1</v>
      </c>
      <c r="B26">
        <v>1</v>
      </c>
    </row>
    <row r="27" spans="1:2">
      <c r="A27">
        <v>1</v>
      </c>
      <c r="B27">
        <v>1</v>
      </c>
    </row>
    <row r="28" spans="1:2">
      <c r="A28">
        <v>1</v>
      </c>
      <c r="B28">
        <v>1</v>
      </c>
    </row>
    <row r="29" spans="1:2">
      <c r="A29">
        <v>1</v>
      </c>
      <c r="B29">
        <v>0</v>
      </c>
    </row>
    <row r="30" spans="1:2">
      <c r="A30">
        <v>1</v>
      </c>
      <c r="B30">
        <v>0</v>
      </c>
    </row>
    <row r="31" spans="1:2">
      <c r="A31">
        <v>1</v>
      </c>
      <c r="B31">
        <v>0</v>
      </c>
    </row>
    <row r="32" spans="1:2">
      <c r="A32">
        <v>1</v>
      </c>
      <c r="B32">
        <v>0</v>
      </c>
    </row>
    <row r="33" spans="1:2">
      <c r="A33">
        <v>1</v>
      </c>
      <c r="B33">
        <v>1</v>
      </c>
    </row>
    <row r="34" spans="1:2">
      <c r="A34">
        <v>1</v>
      </c>
      <c r="B34">
        <v>0</v>
      </c>
    </row>
    <row r="35" spans="1:2">
      <c r="A35">
        <v>0</v>
      </c>
      <c r="B35">
        <v>0</v>
      </c>
    </row>
    <row r="36" spans="1:2">
      <c r="A36">
        <v>1</v>
      </c>
      <c r="B36">
        <v>0</v>
      </c>
    </row>
    <row r="37" spans="1:2">
      <c r="A37">
        <v>1</v>
      </c>
      <c r="B37">
        <v>1</v>
      </c>
    </row>
    <row r="38" spans="1:2">
      <c r="A38">
        <v>1</v>
      </c>
      <c r="B38">
        <v>1</v>
      </c>
    </row>
    <row r="39" spans="1:2">
      <c r="A39">
        <v>1</v>
      </c>
      <c r="B39">
        <v>1</v>
      </c>
    </row>
    <row r="40" spans="1:2">
      <c r="A40">
        <v>0</v>
      </c>
      <c r="B40">
        <v>0</v>
      </c>
    </row>
    <row r="41" spans="1:2">
      <c r="A41">
        <v>0</v>
      </c>
      <c r="B41">
        <v>0</v>
      </c>
    </row>
    <row r="42" spans="1:2">
      <c r="A42">
        <v>1</v>
      </c>
      <c r="B42">
        <v>1</v>
      </c>
    </row>
    <row r="43" spans="1:2">
      <c r="A43">
        <v>1</v>
      </c>
      <c r="B43">
        <v>1</v>
      </c>
    </row>
    <row r="44" spans="1:2">
      <c r="A44">
        <v>0</v>
      </c>
      <c r="B44">
        <v>0</v>
      </c>
    </row>
    <row r="45" spans="1:2">
      <c r="A45">
        <v>0</v>
      </c>
      <c r="B45">
        <v>0</v>
      </c>
    </row>
    <row r="46" spans="1:2">
      <c r="A46">
        <v>0</v>
      </c>
      <c r="B46">
        <v>0</v>
      </c>
    </row>
    <row r="47" spans="1:2">
      <c r="A47">
        <v>0</v>
      </c>
      <c r="B47">
        <v>0</v>
      </c>
    </row>
    <row r="48" spans="1:2">
      <c r="A48">
        <v>1</v>
      </c>
      <c r="B48">
        <v>0</v>
      </c>
    </row>
    <row r="49" spans="1:2">
      <c r="A49">
        <v>1</v>
      </c>
      <c r="B49">
        <v>0</v>
      </c>
    </row>
    <row r="50" spans="1:2">
      <c r="A50">
        <v>1</v>
      </c>
      <c r="B50">
        <v>1</v>
      </c>
    </row>
    <row r="51" spans="1:2">
      <c r="A51">
        <v>1</v>
      </c>
      <c r="B51">
        <v>1</v>
      </c>
    </row>
    <row r="52" spans="1:2">
      <c r="A52">
        <v>1</v>
      </c>
      <c r="B52">
        <v>1</v>
      </c>
    </row>
    <row r="53" spans="1:2">
      <c r="A53">
        <v>1</v>
      </c>
      <c r="B53">
        <v>1</v>
      </c>
    </row>
    <row r="54" spans="1:2">
      <c r="A54">
        <v>1</v>
      </c>
      <c r="B54">
        <v>1</v>
      </c>
    </row>
    <row r="55" spans="1:2">
      <c r="A55">
        <v>1</v>
      </c>
      <c r="B55">
        <v>1</v>
      </c>
    </row>
    <row r="56" spans="1:2">
      <c r="A56">
        <v>1</v>
      </c>
      <c r="B56">
        <v>1</v>
      </c>
    </row>
    <row r="57" spans="1:2">
      <c r="A57">
        <v>1</v>
      </c>
      <c r="B57">
        <v>0</v>
      </c>
    </row>
    <row r="58" spans="1:2">
      <c r="A58">
        <v>1</v>
      </c>
      <c r="B58">
        <v>0</v>
      </c>
    </row>
    <row r="59" spans="1:2">
      <c r="A59">
        <v>1</v>
      </c>
      <c r="B59">
        <v>0</v>
      </c>
    </row>
    <row r="60" spans="1:2">
      <c r="A60">
        <v>1</v>
      </c>
      <c r="B60">
        <v>0</v>
      </c>
    </row>
    <row r="61" spans="1:2">
      <c r="A61">
        <v>1</v>
      </c>
      <c r="B61">
        <v>0</v>
      </c>
    </row>
    <row r="62" spans="1:2">
      <c r="A62">
        <v>1</v>
      </c>
      <c r="B62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d"/>
  <dimension ref="A1:Z62"/>
  <sheetViews>
    <sheetView workbookViewId="0">
      <pane ySplit="1" topLeftCell="A2" activePane="bottomLeft" state="frozen"/>
      <selection activeCell="C1" sqref="C1"/>
      <selection pane="bottomLeft" activeCell="L48" sqref="L48"/>
    </sheetView>
  </sheetViews>
  <sheetFormatPr defaultRowHeight="15"/>
  <cols>
    <col min="2" max="15" width="14.7109375" customWidth="1"/>
    <col min="19" max="19" width="19.85546875" bestFit="1" customWidth="1"/>
    <col min="22" max="26" width="14.7109375" customWidth="1"/>
  </cols>
  <sheetData>
    <row r="1" spans="1:26">
      <c r="A1" t="s">
        <v>63</v>
      </c>
      <c r="B1" s="6" t="s">
        <v>16</v>
      </c>
      <c r="C1" s="6" t="s">
        <v>0</v>
      </c>
      <c r="D1" s="6" t="s">
        <v>2</v>
      </c>
      <c r="E1" s="6" t="s">
        <v>291</v>
      </c>
      <c r="F1" s="6" t="s">
        <v>292</v>
      </c>
      <c r="G1" s="6" t="s">
        <v>293</v>
      </c>
      <c r="H1" s="6" t="s">
        <v>1</v>
      </c>
      <c r="I1" s="6" t="s">
        <v>224</v>
      </c>
      <c r="J1" s="6" t="s">
        <v>336</v>
      </c>
      <c r="K1" s="6" t="s">
        <v>339</v>
      </c>
      <c r="L1" s="6" t="s">
        <v>338</v>
      </c>
      <c r="M1" t="s">
        <v>340</v>
      </c>
      <c r="N1" t="s">
        <v>337</v>
      </c>
      <c r="P1" t="s">
        <v>220</v>
      </c>
      <c r="Q1" t="s">
        <v>334</v>
      </c>
      <c r="V1" s="6" t="s">
        <v>289</v>
      </c>
      <c r="W1" s="6" t="s">
        <v>290</v>
      </c>
      <c r="X1" s="6" t="s">
        <v>223</v>
      </c>
      <c r="Y1" s="6" t="s">
        <v>221</v>
      </c>
      <c r="Z1" s="6" t="s">
        <v>222</v>
      </c>
    </row>
    <row r="2" spans="1:26">
      <c r="A2" t="s">
        <v>225</v>
      </c>
      <c r="B2" s="6" t="s">
        <v>137</v>
      </c>
      <c r="C2" s="6" t="s">
        <v>7</v>
      </c>
      <c r="D2" s="6" t="s">
        <v>19</v>
      </c>
      <c r="E2" s="6">
        <f t="shared" ref="E2:E28" si="0">Y2/$V2</f>
        <v>2.2471910112359552</v>
      </c>
      <c r="F2" s="6">
        <f t="shared" ref="F2:F28" si="1">Z2/$V2</f>
        <v>1.1235955056179776</v>
      </c>
      <c r="G2" s="6">
        <f t="shared" ref="G2:G28" si="2">X2/$V2</f>
        <v>2.7325842696629219</v>
      </c>
      <c r="H2" s="6">
        <f>original!I2</f>
        <v>12.5</v>
      </c>
      <c r="I2" s="6">
        <f>original!N2</f>
        <v>22</v>
      </c>
      <c r="J2" s="6">
        <v>80.400000000000006</v>
      </c>
      <c r="K2" s="6">
        <v>1</v>
      </c>
      <c r="L2" s="6">
        <v>0</v>
      </c>
      <c r="M2">
        <v>1</v>
      </c>
      <c r="N2">
        <v>-0.48099999999999998</v>
      </c>
      <c r="P2">
        <v>1</v>
      </c>
      <c r="Q2">
        <v>1</v>
      </c>
      <c r="S2" t="s">
        <v>294</v>
      </c>
      <c r="T2" t="s">
        <v>295</v>
      </c>
      <c r="V2" s="6">
        <f>original!B2+original!D2+original!L2</f>
        <v>4.4499999999999993</v>
      </c>
      <c r="W2" s="6">
        <v>0</v>
      </c>
      <c r="X2" s="6">
        <f>original!M2</f>
        <v>12.16</v>
      </c>
      <c r="Y2" s="6">
        <f>original!E2</f>
        <v>10</v>
      </c>
      <c r="Z2" s="6">
        <f>original!H2</f>
        <v>5</v>
      </c>
    </row>
    <row r="3" spans="1:26">
      <c r="A3" t="s">
        <v>225</v>
      </c>
      <c r="B3" s="6" t="s">
        <v>137</v>
      </c>
      <c r="C3" s="6" t="s">
        <v>7</v>
      </c>
      <c r="D3" s="6" t="s">
        <v>19</v>
      </c>
      <c r="E3" s="6">
        <f t="shared" si="0"/>
        <v>2.2471910112359552</v>
      </c>
      <c r="F3" s="6">
        <f t="shared" si="1"/>
        <v>1.1235955056179776</v>
      </c>
      <c r="G3" s="6">
        <f t="shared" si="2"/>
        <v>2.7325842696629219</v>
      </c>
      <c r="H3" s="6">
        <f>original!I3</f>
        <v>12.5</v>
      </c>
      <c r="I3" s="6">
        <f>original!N3</f>
        <v>30</v>
      </c>
      <c r="J3" s="6">
        <v>80.400000000000006</v>
      </c>
      <c r="K3" s="6">
        <v>1</v>
      </c>
      <c r="L3" s="6">
        <v>0</v>
      </c>
      <c r="M3">
        <v>1</v>
      </c>
      <c r="N3">
        <v>-0.48099999999999998</v>
      </c>
      <c r="P3">
        <v>1</v>
      </c>
      <c r="Q3">
        <v>1</v>
      </c>
      <c r="S3" t="s">
        <v>296</v>
      </c>
      <c r="T3" t="s">
        <v>297</v>
      </c>
      <c r="V3" s="6">
        <f>original!B3+original!D3+original!L3</f>
        <v>4.4499999999999993</v>
      </c>
      <c r="W3" s="6">
        <v>0</v>
      </c>
      <c r="X3" s="6">
        <f>original!M3</f>
        <v>12.16</v>
      </c>
      <c r="Y3" s="6">
        <f>original!E3</f>
        <v>10</v>
      </c>
      <c r="Z3" s="6">
        <f>original!H3</f>
        <v>5</v>
      </c>
    </row>
    <row r="4" spans="1:26">
      <c r="A4" t="s">
        <v>225</v>
      </c>
      <c r="B4" s="6" t="s">
        <v>137</v>
      </c>
      <c r="C4" s="6" t="s">
        <v>7</v>
      </c>
      <c r="D4" s="6" t="s">
        <v>19</v>
      </c>
      <c r="E4" s="6">
        <f t="shared" si="0"/>
        <v>2.2471910112359552</v>
      </c>
      <c r="F4" s="6">
        <f t="shared" si="1"/>
        <v>1.1235955056179776</v>
      </c>
      <c r="G4" s="6">
        <f t="shared" si="2"/>
        <v>2.7325842696629219</v>
      </c>
      <c r="H4" s="6">
        <f>original!I4</f>
        <v>12.5</v>
      </c>
      <c r="I4" s="6">
        <f>original!N4</f>
        <v>40</v>
      </c>
      <c r="J4" s="6">
        <v>80.400000000000006</v>
      </c>
      <c r="K4" s="6">
        <v>1</v>
      </c>
      <c r="L4" s="6">
        <v>0</v>
      </c>
      <c r="M4">
        <v>1</v>
      </c>
      <c r="N4">
        <v>-0.48099999999999998</v>
      </c>
      <c r="P4">
        <v>1</v>
      </c>
      <c r="Q4">
        <v>1</v>
      </c>
      <c r="V4" s="6">
        <f>original!B4+original!D4+original!L4</f>
        <v>4.4499999999999993</v>
      </c>
      <c r="W4" s="6">
        <v>0</v>
      </c>
      <c r="X4" s="6">
        <f>original!M4</f>
        <v>12.16</v>
      </c>
      <c r="Y4" s="6">
        <f>original!E4</f>
        <v>10</v>
      </c>
      <c r="Z4" s="6">
        <f>original!H4</f>
        <v>5</v>
      </c>
    </row>
    <row r="5" spans="1:26">
      <c r="A5" t="s">
        <v>225</v>
      </c>
      <c r="B5" s="6" t="s">
        <v>137</v>
      </c>
      <c r="C5" s="6" t="s">
        <v>7</v>
      </c>
      <c r="D5" s="6" t="s">
        <v>19</v>
      </c>
      <c r="E5" s="6">
        <f t="shared" si="0"/>
        <v>2.2471910112359552</v>
      </c>
      <c r="F5" s="6">
        <f t="shared" si="1"/>
        <v>1.1235955056179776</v>
      </c>
      <c r="G5" s="6">
        <f t="shared" si="2"/>
        <v>2.7325842696629219</v>
      </c>
      <c r="H5" s="6">
        <f>original!I5</f>
        <v>12.5</v>
      </c>
      <c r="I5" s="6">
        <f>original!N5</f>
        <v>50</v>
      </c>
      <c r="J5" s="6">
        <v>80.400000000000006</v>
      </c>
      <c r="K5" s="6">
        <v>1</v>
      </c>
      <c r="L5" s="6">
        <v>0</v>
      </c>
      <c r="M5">
        <v>1</v>
      </c>
      <c r="N5">
        <v>-0.48099999999999998</v>
      </c>
      <c r="P5">
        <v>0</v>
      </c>
      <c r="Q5">
        <v>1</v>
      </c>
      <c r="V5" s="6">
        <f>original!B5+original!D5+original!L5</f>
        <v>4.4499999999999993</v>
      </c>
      <c r="W5" s="6">
        <v>0</v>
      </c>
      <c r="X5" s="6">
        <f>original!M5</f>
        <v>12.16</v>
      </c>
      <c r="Y5" s="6">
        <f>original!E5</f>
        <v>10</v>
      </c>
      <c r="Z5" s="6">
        <f>original!H5</f>
        <v>5</v>
      </c>
    </row>
    <row r="6" spans="1:26">
      <c r="A6" t="s">
        <v>225</v>
      </c>
      <c r="B6" s="6" t="s">
        <v>137</v>
      </c>
      <c r="C6" s="6" t="s">
        <v>7</v>
      </c>
      <c r="D6" s="6" t="s">
        <v>19</v>
      </c>
      <c r="E6" s="6">
        <f t="shared" si="0"/>
        <v>2.2471910112359552</v>
      </c>
      <c r="F6" s="6">
        <f t="shared" si="1"/>
        <v>1.1235955056179776</v>
      </c>
      <c r="G6" s="6">
        <f t="shared" si="2"/>
        <v>2.7325842696629219</v>
      </c>
      <c r="H6" s="6">
        <f>original!I6</f>
        <v>12.5</v>
      </c>
      <c r="I6" s="6">
        <f>original!N6</f>
        <v>60</v>
      </c>
      <c r="J6" s="6">
        <v>80.400000000000006</v>
      </c>
      <c r="K6" s="6">
        <v>1</v>
      </c>
      <c r="L6" s="6">
        <v>0</v>
      </c>
      <c r="M6">
        <v>1</v>
      </c>
      <c r="N6">
        <v>-0.48099999999999998</v>
      </c>
      <c r="P6">
        <v>0</v>
      </c>
      <c r="Q6">
        <v>1</v>
      </c>
      <c r="V6" s="6">
        <f>original!B6+original!D6+original!L6</f>
        <v>4.4499999999999993</v>
      </c>
      <c r="W6" s="6">
        <v>0</v>
      </c>
      <c r="X6" s="6">
        <f>original!M6</f>
        <v>12.16</v>
      </c>
      <c r="Y6" s="6">
        <f>original!E6</f>
        <v>10</v>
      </c>
      <c r="Z6" s="6">
        <f>original!H6</f>
        <v>5</v>
      </c>
    </row>
    <row r="7" spans="1:26">
      <c r="A7" t="s">
        <v>225</v>
      </c>
      <c r="B7" s="6" t="s">
        <v>41</v>
      </c>
      <c r="C7" s="6" t="s">
        <v>29</v>
      </c>
      <c r="D7" s="6" t="s">
        <v>19</v>
      </c>
      <c r="E7" s="6">
        <f t="shared" si="0"/>
        <v>2.1026072329688814</v>
      </c>
      <c r="F7" s="6">
        <f t="shared" si="1"/>
        <v>1.0513036164844407</v>
      </c>
      <c r="G7" s="6">
        <f t="shared" si="2"/>
        <v>3.2800672834314551E-2</v>
      </c>
      <c r="H7" s="6">
        <f>original!I7</f>
        <v>11.5</v>
      </c>
      <c r="I7" s="6">
        <f>original!N7</f>
        <v>22</v>
      </c>
      <c r="J7" s="6">
        <v>80.400000000000006</v>
      </c>
      <c r="K7" s="6">
        <v>0</v>
      </c>
      <c r="L7" s="6">
        <v>0</v>
      </c>
      <c r="M7">
        <v>0</v>
      </c>
      <c r="N7">
        <v>-0.48099999999999998</v>
      </c>
      <c r="P7">
        <v>1</v>
      </c>
      <c r="Q7">
        <v>1</v>
      </c>
      <c r="V7" s="6">
        <f>original!B7+original!D7+original!L7</f>
        <v>4.7560000000000002</v>
      </c>
      <c r="W7" s="6">
        <v>0</v>
      </c>
      <c r="X7" s="6">
        <f>original!M7</f>
        <v>0.156</v>
      </c>
      <c r="Y7" s="6">
        <f>original!E7</f>
        <v>10</v>
      </c>
      <c r="Z7" s="6">
        <f>original!H7</f>
        <v>5</v>
      </c>
    </row>
    <row r="8" spans="1:26">
      <c r="A8" t="s">
        <v>225</v>
      </c>
      <c r="B8" s="6" t="s">
        <v>137</v>
      </c>
      <c r="C8" s="6" t="s">
        <v>29</v>
      </c>
      <c r="D8" s="6" t="s">
        <v>19</v>
      </c>
      <c r="E8" s="6">
        <f t="shared" si="0"/>
        <v>2.1276595744680851</v>
      </c>
      <c r="F8" s="6">
        <f t="shared" si="1"/>
        <v>1.0638297872340425</v>
      </c>
      <c r="G8" s="6">
        <f t="shared" si="2"/>
        <v>2.1276595744680851E-2</v>
      </c>
      <c r="H8" s="6">
        <f>original!I8</f>
        <v>11.5</v>
      </c>
      <c r="I8" s="6">
        <f>original!N8</f>
        <v>22</v>
      </c>
      <c r="J8" s="6">
        <v>80.400000000000006</v>
      </c>
      <c r="K8" s="6">
        <v>0</v>
      </c>
      <c r="L8" s="6">
        <v>0</v>
      </c>
      <c r="M8">
        <v>0</v>
      </c>
      <c r="N8">
        <v>-0.48099999999999998</v>
      </c>
      <c r="P8">
        <v>0</v>
      </c>
      <c r="Q8">
        <v>1</v>
      </c>
      <c r="V8" s="6">
        <f>original!B8+original!D8+original!L8</f>
        <v>4.7</v>
      </c>
      <c r="W8" s="6">
        <v>0</v>
      </c>
      <c r="X8" s="6">
        <f>original!M8</f>
        <v>0.1</v>
      </c>
      <c r="Y8" s="6">
        <f>original!E8</f>
        <v>10</v>
      </c>
      <c r="Z8" s="6">
        <f>original!H8</f>
        <v>5</v>
      </c>
    </row>
    <row r="9" spans="1:26">
      <c r="A9" t="s">
        <v>225</v>
      </c>
      <c r="B9" s="6" t="s">
        <v>137</v>
      </c>
      <c r="C9" s="6" t="s">
        <v>29</v>
      </c>
      <c r="D9" s="6" t="s">
        <v>19</v>
      </c>
      <c r="E9" s="6">
        <f t="shared" si="0"/>
        <v>2.083333333333333</v>
      </c>
      <c r="F9" s="6">
        <f t="shared" si="1"/>
        <v>1.0416666666666665</v>
      </c>
      <c r="G9" s="6">
        <f t="shared" si="2"/>
        <v>4.1666666666666664E-2</v>
      </c>
      <c r="H9" s="6">
        <f>original!I9</f>
        <v>11.5</v>
      </c>
      <c r="I9" s="6">
        <f>original!N9</f>
        <v>22</v>
      </c>
      <c r="J9" s="6">
        <v>80.400000000000006</v>
      </c>
      <c r="K9" s="6">
        <v>0</v>
      </c>
      <c r="L9" s="6">
        <v>0</v>
      </c>
      <c r="M9">
        <v>0</v>
      </c>
      <c r="N9">
        <v>-0.48099999999999998</v>
      </c>
      <c r="P9">
        <v>0</v>
      </c>
      <c r="Q9">
        <v>1</v>
      </c>
      <c r="V9" s="6">
        <f>original!B9+original!D9+original!L9</f>
        <v>4.8000000000000007</v>
      </c>
      <c r="W9" s="6">
        <v>0</v>
      </c>
      <c r="X9" s="6">
        <f>original!M9</f>
        <v>0.2</v>
      </c>
      <c r="Y9" s="6">
        <f>original!E9</f>
        <v>10</v>
      </c>
      <c r="Z9" s="6">
        <f>original!H9</f>
        <v>5</v>
      </c>
    </row>
    <row r="10" spans="1:26">
      <c r="A10" t="s">
        <v>225</v>
      </c>
      <c r="B10" s="6" t="s">
        <v>137</v>
      </c>
      <c r="C10" s="6" t="s">
        <v>29</v>
      </c>
      <c r="D10" s="6" t="s">
        <v>19</v>
      </c>
      <c r="E10" s="6">
        <f t="shared" si="0"/>
        <v>2.0703933747412004</v>
      </c>
      <c r="F10" s="6">
        <f t="shared" si="1"/>
        <v>1.0351966873706002</v>
      </c>
      <c r="G10" s="6">
        <f t="shared" si="2"/>
        <v>4.7619047619047609E-2</v>
      </c>
      <c r="H10" s="6">
        <f>original!I10</f>
        <v>11.5</v>
      </c>
      <c r="I10" s="6">
        <f>original!N10</f>
        <v>22</v>
      </c>
      <c r="J10" s="6">
        <v>80.400000000000006</v>
      </c>
      <c r="K10" s="6">
        <v>0</v>
      </c>
      <c r="L10" s="6">
        <v>0</v>
      </c>
      <c r="M10">
        <v>0</v>
      </c>
      <c r="N10">
        <v>-0.48099999999999998</v>
      </c>
      <c r="P10">
        <v>0</v>
      </c>
      <c r="Q10">
        <v>1</v>
      </c>
      <c r="V10" s="6">
        <f>original!B10+original!D10+original!L10</f>
        <v>4.830000000000001</v>
      </c>
      <c r="W10" s="6">
        <v>0</v>
      </c>
      <c r="X10" s="6">
        <f>original!M10</f>
        <v>0.23</v>
      </c>
      <c r="Y10" s="6">
        <f>original!E10</f>
        <v>10</v>
      </c>
      <c r="Z10" s="6">
        <f>original!H10</f>
        <v>5</v>
      </c>
    </row>
    <row r="11" spans="1:26">
      <c r="A11" t="s">
        <v>225</v>
      </c>
      <c r="B11" s="6" t="s">
        <v>137</v>
      </c>
      <c r="C11" s="6" t="s">
        <v>29</v>
      </c>
      <c r="D11" s="6" t="s">
        <v>19</v>
      </c>
      <c r="E11" s="6">
        <f t="shared" si="0"/>
        <v>2.1276595744680851</v>
      </c>
      <c r="F11" s="6">
        <f t="shared" si="1"/>
        <v>1.0638297872340425</v>
      </c>
      <c r="G11" s="6">
        <f t="shared" si="2"/>
        <v>2.1276595744680851</v>
      </c>
      <c r="H11" s="6">
        <f>original!I11</f>
        <v>11.5</v>
      </c>
      <c r="I11" s="6">
        <f>original!N11</f>
        <v>22</v>
      </c>
      <c r="J11" s="6">
        <v>80.400000000000006</v>
      </c>
      <c r="K11" s="6">
        <v>0</v>
      </c>
      <c r="L11" s="6">
        <v>0</v>
      </c>
      <c r="M11">
        <v>0</v>
      </c>
      <c r="N11">
        <v>-0.48099999999999998</v>
      </c>
      <c r="P11">
        <v>0</v>
      </c>
      <c r="Q11">
        <v>1</v>
      </c>
      <c r="V11" s="6">
        <f>original!B11+original!D11+original!L11</f>
        <v>4.7</v>
      </c>
      <c r="W11" s="6">
        <v>0</v>
      </c>
      <c r="X11" s="6">
        <f>original!M11</f>
        <v>10</v>
      </c>
      <c r="Y11" s="6">
        <f>original!E11</f>
        <v>10</v>
      </c>
      <c r="Z11" s="6">
        <f>original!H11</f>
        <v>5</v>
      </c>
    </row>
    <row r="12" spans="1:26">
      <c r="A12" t="s">
        <v>225</v>
      </c>
      <c r="B12" s="6" t="s">
        <v>137</v>
      </c>
      <c r="C12" s="6" t="s">
        <v>29</v>
      </c>
      <c r="D12" s="6" t="s">
        <v>19</v>
      </c>
      <c r="E12" s="6">
        <f t="shared" si="0"/>
        <v>3.0612244897959182</v>
      </c>
      <c r="F12" s="6">
        <f t="shared" si="1"/>
        <v>1.0204081632653061</v>
      </c>
      <c r="G12" s="6">
        <f t="shared" si="2"/>
        <v>4.0816326530612242E-2</v>
      </c>
      <c r="H12" s="6">
        <f>original!I12</f>
        <v>11.5</v>
      </c>
      <c r="I12" s="6">
        <f>original!N12</f>
        <v>22</v>
      </c>
      <c r="J12" s="6">
        <v>80.400000000000006</v>
      </c>
      <c r="K12" s="6">
        <v>0</v>
      </c>
      <c r="L12" s="6">
        <v>0</v>
      </c>
      <c r="M12">
        <v>0</v>
      </c>
      <c r="N12">
        <v>-0.48099999999999998</v>
      </c>
      <c r="P12">
        <v>0</v>
      </c>
      <c r="Q12">
        <v>1</v>
      </c>
      <c r="V12" s="6">
        <f>original!B12+original!D12+original!L12</f>
        <v>4.9000000000000004</v>
      </c>
      <c r="W12" s="6">
        <v>0</v>
      </c>
      <c r="X12" s="6">
        <f>original!M12</f>
        <v>0.2</v>
      </c>
      <c r="Y12" s="6">
        <f>original!E12</f>
        <v>15</v>
      </c>
      <c r="Z12" s="6">
        <f>original!H12</f>
        <v>5</v>
      </c>
    </row>
    <row r="13" spans="1:26">
      <c r="A13" t="s">
        <v>225</v>
      </c>
      <c r="B13" s="6" t="s">
        <v>137</v>
      </c>
      <c r="C13" s="6" t="s">
        <v>29</v>
      </c>
      <c r="D13" s="6" t="s">
        <v>19</v>
      </c>
      <c r="E13" s="6">
        <f t="shared" si="0"/>
        <v>2.5773195876288657</v>
      </c>
      <c r="F13" s="6">
        <f t="shared" si="1"/>
        <v>1.0309278350515463</v>
      </c>
      <c r="G13" s="6">
        <f t="shared" si="2"/>
        <v>4.1237113402061855E-2</v>
      </c>
      <c r="H13" s="6">
        <f>original!I13</f>
        <v>11.5</v>
      </c>
      <c r="I13" s="6">
        <f>original!N13</f>
        <v>22</v>
      </c>
      <c r="J13" s="6">
        <v>80.400000000000006</v>
      </c>
      <c r="K13" s="6">
        <v>0</v>
      </c>
      <c r="L13" s="6">
        <v>0</v>
      </c>
      <c r="M13">
        <v>0</v>
      </c>
      <c r="N13">
        <v>-0.48099999999999998</v>
      </c>
      <c r="P13">
        <v>0</v>
      </c>
      <c r="Q13">
        <v>1</v>
      </c>
      <c r="V13" s="6">
        <f>original!B13+original!D13+original!L13</f>
        <v>4.8500000000000005</v>
      </c>
      <c r="W13" s="6">
        <v>0</v>
      </c>
      <c r="X13" s="6">
        <f>original!M13</f>
        <v>0.2</v>
      </c>
      <c r="Y13" s="6">
        <f>original!E13</f>
        <v>12.5</v>
      </c>
      <c r="Z13" s="6">
        <f>original!H13</f>
        <v>5</v>
      </c>
    </row>
    <row r="14" spans="1:26">
      <c r="A14" t="s">
        <v>225</v>
      </c>
      <c r="B14" s="6" t="s">
        <v>137</v>
      </c>
      <c r="C14" s="6" t="s">
        <v>29</v>
      </c>
      <c r="D14" s="6" t="s">
        <v>19</v>
      </c>
      <c r="E14" s="6">
        <f t="shared" si="0"/>
        <v>1.5789473684210524</v>
      </c>
      <c r="F14" s="6">
        <f t="shared" si="1"/>
        <v>1.0526315789473681</v>
      </c>
      <c r="G14" s="6">
        <f t="shared" si="2"/>
        <v>4.2105263157894729E-2</v>
      </c>
      <c r="H14" s="6">
        <f>original!I14</f>
        <v>11.5</v>
      </c>
      <c r="I14" s="6">
        <f>original!N14</f>
        <v>22</v>
      </c>
      <c r="J14" s="6">
        <v>80.400000000000006</v>
      </c>
      <c r="K14" s="6">
        <v>0</v>
      </c>
      <c r="L14" s="6">
        <v>0</v>
      </c>
      <c r="M14">
        <v>0</v>
      </c>
      <c r="N14">
        <v>-0.48099999999999998</v>
      </c>
      <c r="P14">
        <v>0</v>
      </c>
      <c r="Q14">
        <v>1</v>
      </c>
      <c r="V14" s="6">
        <f>original!B14+original!D14+original!L14</f>
        <v>4.7500000000000009</v>
      </c>
      <c r="W14" s="6">
        <v>0</v>
      </c>
      <c r="X14" s="6">
        <f>original!M14</f>
        <v>0.2</v>
      </c>
      <c r="Y14" s="6">
        <f>original!E14</f>
        <v>7.5</v>
      </c>
      <c r="Z14" s="6">
        <f>original!H14</f>
        <v>5</v>
      </c>
    </row>
    <row r="15" spans="1:26">
      <c r="A15" t="s">
        <v>225</v>
      </c>
      <c r="B15" s="6" t="s">
        <v>137</v>
      </c>
      <c r="C15" s="6" t="s">
        <v>29</v>
      </c>
      <c r="D15" s="6" t="s">
        <v>19</v>
      </c>
      <c r="E15" s="6">
        <f t="shared" si="0"/>
        <v>2.083333333333333</v>
      </c>
      <c r="F15" s="6">
        <f t="shared" si="1"/>
        <v>1.0416666666666665</v>
      </c>
      <c r="G15" s="6">
        <f t="shared" si="2"/>
        <v>4.1666666666666664E-2</v>
      </c>
      <c r="H15" s="6">
        <f>original!I15</f>
        <v>10</v>
      </c>
      <c r="I15" s="6">
        <f>original!N15</f>
        <v>22</v>
      </c>
      <c r="J15" s="6">
        <v>80.400000000000006</v>
      </c>
      <c r="K15" s="6">
        <v>0</v>
      </c>
      <c r="L15" s="6">
        <v>0</v>
      </c>
      <c r="M15">
        <v>0</v>
      </c>
      <c r="N15">
        <v>-0.48099999999999998</v>
      </c>
      <c r="P15">
        <v>0</v>
      </c>
      <c r="Q15">
        <v>1</v>
      </c>
      <c r="V15" s="6">
        <f>original!B15+original!D15+original!L15</f>
        <v>4.8000000000000007</v>
      </c>
      <c r="W15" s="6">
        <v>0</v>
      </c>
      <c r="X15" s="6">
        <f>original!M15</f>
        <v>0.2</v>
      </c>
      <c r="Y15" s="6">
        <f>original!E15</f>
        <v>10</v>
      </c>
      <c r="Z15" s="6">
        <f>original!H15</f>
        <v>5</v>
      </c>
    </row>
    <row r="16" spans="1:26">
      <c r="A16" t="s">
        <v>225</v>
      </c>
      <c r="B16" s="6" t="s">
        <v>137</v>
      </c>
      <c r="C16" s="6" t="s">
        <v>29</v>
      </c>
      <c r="D16" s="6" t="s">
        <v>19</v>
      </c>
      <c r="E16" s="6">
        <f t="shared" si="0"/>
        <v>2.083333333333333</v>
      </c>
      <c r="F16" s="6">
        <f t="shared" si="1"/>
        <v>1.0416666666666665</v>
      </c>
      <c r="G16" s="6">
        <f t="shared" si="2"/>
        <v>4.1666666666666664E-2</v>
      </c>
      <c r="H16" s="6">
        <f>original!I16</f>
        <v>11</v>
      </c>
      <c r="I16" s="6">
        <f>original!N16</f>
        <v>22</v>
      </c>
      <c r="J16" s="6">
        <v>80.400000000000006</v>
      </c>
      <c r="K16" s="6">
        <v>0</v>
      </c>
      <c r="L16" s="6">
        <v>0</v>
      </c>
      <c r="M16">
        <v>0</v>
      </c>
      <c r="N16">
        <v>-0.48099999999999998</v>
      </c>
      <c r="P16">
        <v>0</v>
      </c>
      <c r="Q16">
        <v>1</v>
      </c>
      <c r="V16" s="6">
        <f>original!B16+original!D16+original!L16</f>
        <v>4.8000000000000007</v>
      </c>
      <c r="W16" s="6">
        <v>0</v>
      </c>
      <c r="X16" s="6">
        <f>original!M16</f>
        <v>0.2</v>
      </c>
      <c r="Y16" s="6">
        <f>original!E16</f>
        <v>10</v>
      </c>
      <c r="Z16" s="6">
        <f>original!H16</f>
        <v>5</v>
      </c>
    </row>
    <row r="17" spans="1:26">
      <c r="A17" t="s">
        <v>225</v>
      </c>
      <c r="B17" s="6" t="s">
        <v>137</v>
      </c>
      <c r="C17" s="6" t="s">
        <v>29</v>
      </c>
      <c r="D17" s="6" t="s">
        <v>19</v>
      </c>
      <c r="E17" s="6">
        <f t="shared" si="0"/>
        <v>2.083333333333333</v>
      </c>
      <c r="F17" s="6">
        <f t="shared" si="1"/>
        <v>1.0416666666666665</v>
      </c>
      <c r="G17" s="6">
        <f t="shared" si="2"/>
        <v>4.1666666666666664E-2</v>
      </c>
      <c r="H17" s="6">
        <f>original!I17</f>
        <v>12</v>
      </c>
      <c r="I17" s="6">
        <f>original!N17</f>
        <v>22</v>
      </c>
      <c r="J17" s="6">
        <v>80.400000000000006</v>
      </c>
      <c r="K17" s="6">
        <v>0</v>
      </c>
      <c r="L17" s="6">
        <v>0</v>
      </c>
      <c r="M17">
        <v>0</v>
      </c>
      <c r="N17">
        <v>-0.48099999999999998</v>
      </c>
      <c r="P17">
        <v>0</v>
      </c>
      <c r="Q17">
        <v>1</v>
      </c>
      <c r="V17" s="6">
        <f>original!B17+original!D17+original!L17</f>
        <v>4.8000000000000007</v>
      </c>
      <c r="W17" s="6">
        <v>0</v>
      </c>
      <c r="X17" s="6">
        <f>original!M17</f>
        <v>0.2</v>
      </c>
      <c r="Y17" s="6">
        <f>original!E17</f>
        <v>10</v>
      </c>
      <c r="Z17" s="6">
        <f>original!H17</f>
        <v>5</v>
      </c>
    </row>
    <row r="18" spans="1:26">
      <c r="A18" t="s">
        <v>225</v>
      </c>
      <c r="B18" s="6" t="s">
        <v>137</v>
      </c>
      <c r="C18" s="6" t="s">
        <v>29</v>
      </c>
      <c r="D18" s="6" t="s">
        <v>19</v>
      </c>
      <c r="E18" s="6">
        <f t="shared" si="0"/>
        <v>2.083333333333333</v>
      </c>
      <c r="F18" s="6">
        <f t="shared" si="1"/>
        <v>1.0416666666666665</v>
      </c>
      <c r="G18" s="6">
        <f t="shared" si="2"/>
        <v>4.1666666666666664E-2</v>
      </c>
      <c r="H18" s="6">
        <f>original!I18</f>
        <v>12.5</v>
      </c>
      <c r="I18" s="6">
        <f>original!N18</f>
        <v>22</v>
      </c>
      <c r="J18" s="6">
        <v>80.400000000000006</v>
      </c>
      <c r="K18" s="6">
        <v>0</v>
      </c>
      <c r="L18" s="6">
        <v>0</v>
      </c>
      <c r="M18">
        <v>0</v>
      </c>
      <c r="N18">
        <v>-0.48099999999999998</v>
      </c>
      <c r="P18">
        <v>0</v>
      </c>
      <c r="Q18">
        <v>1</v>
      </c>
      <c r="V18" s="6">
        <f>original!B18+original!D18+original!L18</f>
        <v>4.8000000000000007</v>
      </c>
      <c r="W18" s="6">
        <v>0</v>
      </c>
      <c r="X18" s="6">
        <f>original!M18</f>
        <v>0.2</v>
      </c>
      <c r="Y18" s="6">
        <f>original!E18</f>
        <v>10</v>
      </c>
      <c r="Z18" s="6">
        <f>original!H18</f>
        <v>5</v>
      </c>
    </row>
    <row r="19" spans="1:26">
      <c r="A19" t="s">
        <v>225</v>
      </c>
      <c r="B19" s="6" t="s">
        <v>137</v>
      </c>
      <c r="C19" s="6" t="s">
        <v>29</v>
      </c>
      <c r="D19" s="6" t="s">
        <v>19</v>
      </c>
      <c r="E19" s="6">
        <f t="shared" si="0"/>
        <v>2.083333333333333</v>
      </c>
      <c r="F19" s="6">
        <f t="shared" si="1"/>
        <v>1.0416666666666665</v>
      </c>
      <c r="G19" s="6">
        <f t="shared" si="2"/>
        <v>4.1666666666666664E-2</v>
      </c>
      <c r="H19" s="6">
        <f>original!I19</f>
        <v>12.8</v>
      </c>
      <c r="I19" s="6">
        <f>original!N19</f>
        <v>22</v>
      </c>
      <c r="J19" s="6">
        <v>80.400000000000006</v>
      </c>
      <c r="K19" s="6">
        <v>0</v>
      </c>
      <c r="L19" s="6">
        <v>0</v>
      </c>
      <c r="M19">
        <v>0</v>
      </c>
      <c r="N19">
        <v>-0.48099999999999998</v>
      </c>
      <c r="P19">
        <v>0</v>
      </c>
      <c r="Q19">
        <v>1</v>
      </c>
      <c r="V19" s="6">
        <f>original!B19+original!D19+original!L19</f>
        <v>4.8000000000000007</v>
      </c>
      <c r="W19" s="6">
        <v>0</v>
      </c>
      <c r="X19" s="6">
        <f>original!M19</f>
        <v>0.2</v>
      </c>
      <c r="Y19" s="6">
        <f>original!E19</f>
        <v>10</v>
      </c>
      <c r="Z19" s="6">
        <f>original!H19</f>
        <v>5</v>
      </c>
    </row>
    <row r="20" spans="1:26">
      <c r="A20" t="s">
        <v>225</v>
      </c>
      <c r="B20" s="6" t="s">
        <v>137</v>
      </c>
      <c r="C20" s="6" t="s">
        <v>28</v>
      </c>
      <c r="D20" s="6" t="s">
        <v>19</v>
      </c>
      <c r="E20" s="6">
        <f t="shared" si="0"/>
        <v>2.083333333333333</v>
      </c>
      <c r="F20" s="6">
        <f t="shared" si="1"/>
        <v>1.0416666666666665</v>
      </c>
      <c r="G20" s="6">
        <f t="shared" si="2"/>
        <v>4.1666666666666664E-2</v>
      </c>
      <c r="H20" s="6">
        <f>original!I20</f>
        <v>11.5</v>
      </c>
      <c r="I20" s="6">
        <f>original!N20</f>
        <v>22</v>
      </c>
      <c r="J20" s="6">
        <v>80.400000000000006</v>
      </c>
      <c r="K20" s="6">
        <v>0</v>
      </c>
      <c r="L20" s="6">
        <v>0</v>
      </c>
      <c r="M20">
        <v>0</v>
      </c>
      <c r="N20">
        <v>-0.48099999999999998</v>
      </c>
      <c r="P20">
        <v>1</v>
      </c>
      <c r="Q20">
        <v>1</v>
      </c>
      <c r="V20" s="6">
        <f>original!B20+original!D20+original!L20</f>
        <v>4.8000000000000007</v>
      </c>
      <c r="W20" s="6">
        <v>0</v>
      </c>
      <c r="X20" s="6">
        <f>original!M20</f>
        <v>0.2</v>
      </c>
      <c r="Y20" s="6">
        <f>original!E20</f>
        <v>10</v>
      </c>
      <c r="Z20" s="6">
        <f>original!H20</f>
        <v>5</v>
      </c>
    </row>
    <row r="21" spans="1:26">
      <c r="A21" t="s">
        <v>225</v>
      </c>
      <c r="B21" s="6" t="s">
        <v>137</v>
      </c>
      <c r="C21" s="6" t="s">
        <v>28</v>
      </c>
      <c r="D21" s="6" t="s">
        <v>19</v>
      </c>
      <c r="E21" s="6">
        <f t="shared" si="0"/>
        <v>3.0612244897959182</v>
      </c>
      <c r="F21" s="6">
        <f t="shared" si="1"/>
        <v>1.0204081632653061</v>
      </c>
      <c r="G21" s="6">
        <f t="shared" si="2"/>
        <v>4.0816326530612242E-2</v>
      </c>
      <c r="H21" s="6">
        <f>original!I21</f>
        <v>11.5</v>
      </c>
      <c r="I21" s="6">
        <f>original!N21</f>
        <v>22</v>
      </c>
      <c r="J21" s="6">
        <v>80.400000000000006</v>
      </c>
      <c r="K21" s="6">
        <v>0</v>
      </c>
      <c r="L21" s="6">
        <v>0</v>
      </c>
      <c r="M21">
        <v>0</v>
      </c>
      <c r="N21">
        <v>-0.48099999999999998</v>
      </c>
      <c r="P21">
        <v>0</v>
      </c>
      <c r="Q21">
        <v>1</v>
      </c>
      <c r="V21" s="6">
        <f>original!B21+original!D21+original!L21</f>
        <v>4.9000000000000004</v>
      </c>
      <c r="W21" s="6">
        <v>0</v>
      </c>
      <c r="X21" s="6">
        <f>original!M21</f>
        <v>0.2</v>
      </c>
      <c r="Y21" s="6">
        <f>original!E21</f>
        <v>15</v>
      </c>
      <c r="Z21" s="6">
        <f>original!H21</f>
        <v>5</v>
      </c>
    </row>
    <row r="22" spans="1:26">
      <c r="A22" t="s">
        <v>225</v>
      </c>
      <c r="B22" s="6" t="s">
        <v>137</v>
      </c>
      <c r="C22" s="6" t="s">
        <v>28</v>
      </c>
      <c r="D22" s="6" t="s">
        <v>19</v>
      </c>
      <c r="E22" s="6">
        <f t="shared" si="0"/>
        <v>2.5773195876288657</v>
      </c>
      <c r="F22" s="6">
        <f t="shared" si="1"/>
        <v>1.0309278350515463</v>
      </c>
      <c r="G22" s="6">
        <f t="shared" si="2"/>
        <v>4.1237113402061855E-2</v>
      </c>
      <c r="H22" s="6">
        <f>original!I22</f>
        <v>11.5</v>
      </c>
      <c r="I22" s="6">
        <f>original!N22</f>
        <v>22</v>
      </c>
      <c r="J22" s="6">
        <v>80.400000000000006</v>
      </c>
      <c r="K22" s="6">
        <v>0</v>
      </c>
      <c r="L22" s="6">
        <v>0</v>
      </c>
      <c r="M22">
        <v>0</v>
      </c>
      <c r="N22">
        <v>-0.48099999999999998</v>
      </c>
      <c r="P22">
        <v>0</v>
      </c>
      <c r="Q22">
        <v>1</v>
      </c>
      <c r="V22" s="6">
        <f>original!B22+original!D22+original!L22</f>
        <v>4.8500000000000005</v>
      </c>
      <c r="W22" s="6">
        <v>0</v>
      </c>
      <c r="X22" s="6">
        <f>original!M22</f>
        <v>0.2</v>
      </c>
      <c r="Y22" s="6">
        <f>original!E22</f>
        <v>12.5</v>
      </c>
      <c r="Z22" s="6">
        <f>original!H22</f>
        <v>5</v>
      </c>
    </row>
    <row r="23" spans="1:26">
      <c r="A23" t="s">
        <v>225</v>
      </c>
      <c r="B23" s="6" t="s">
        <v>137</v>
      </c>
      <c r="C23" s="6" t="s">
        <v>28</v>
      </c>
      <c r="D23" s="6" t="s">
        <v>19</v>
      </c>
      <c r="E23" s="6">
        <f t="shared" si="0"/>
        <v>1.5789473684210524</v>
      </c>
      <c r="F23" s="6">
        <f t="shared" si="1"/>
        <v>1.0526315789473681</v>
      </c>
      <c r="G23" s="6">
        <f t="shared" si="2"/>
        <v>4.2105263157894729E-2</v>
      </c>
      <c r="H23" s="6">
        <f>original!I23</f>
        <v>11.5</v>
      </c>
      <c r="I23" s="6">
        <f>original!N23</f>
        <v>22</v>
      </c>
      <c r="J23" s="6">
        <v>80.400000000000006</v>
      </c>
      <c r="K23" s="6">
        <v>0</v>
      </c>
      <c r="L23" s="6">
        <v>0</v>
      </c>
      <c r="M23">
        <v>0</v>
      </c>
      <c r="N23">
        <v>-0.48099999999999998</v>
      </c>
      <c r="P23">
        <v>0</v>
      </c>
      <c r="Q23">
        <v>1</v>
      </c>
      <c r="V23" s="6">
        <f>original!B23+original!D23+original!L23</f>
        <v>4.7500000000000009</v>
      </c>
      <c r="W23" s="6">
        <v>0</v>
      </c>
      <c r="X23" s="6">
        <f>original!M23</f>
        <v>0.2</v>
      </c>
      <c r="Y23" s="6">
        <f>original!E23</f>
        <v>7.5</v>
      </c>
      <c r="Z23" s="6">
        <f>original!H23</f>
        <v>5</v>
      </c>
    </row>
    <row r="24" spans="1:26">
      <c r="A24" t="s">
        <v>225</v>
      </c>
      <c r="B24" s="6" t="s">
        <v>137</v>
      </c>
      <c r="C24" s="6" t="s">
        <v>28</v>
      </c>
      <c r="D24" s="6" t="s">
        <v>19</v>
      </c>
      <c r="E24" s="6">
        <f t="shared" si="0"/>
        <v>2.083333333333333</v>
      </c>
      <c r="F24" s="6">
        <f t="shared" si="1"/>
        <v>1.0416666666666665</v>
      </c>
      <c r="G24" s="6">
        <f t="shared" si="2"/>
        <v>4.1666666666666664E-2</v>
      </c>
      <c r="H24" s="6">
        <f>original!I24</f>
        <v>10</v>
      </c>
      <c r="I24" s="6">
        <f>original!N24</f>
        <v>22</v>
      </c>
      <c r="J24" s="6">
        <v>80.400000000000006</v>
      </c>
      <c r="K24" s="6">
        <v>0</v>
      </c>
      <c r="L24" s="6">
        <v>0</v>
      </c>
      <c r="M24">
        <v>0</v>
      </c>
      <c r="N24">
        <v>-0.48099999999999998</v>
      </c>
      <c r="P24">
        <v>0</v>
      </c>
      <c r="Q24">
        <v>1</v>
      </c>
      <c r="V24" s="6">
        <f>original!B24+original!D24+original!L24</f>
        <v>4.8000000000000007</v>
      </c>
      <c r="W24" s="6">
        <v>0</v>
      </c>
      <c r="X24" s="6">
        <f>original!M24</f>
        <v>0.2</v>
      </c>
      <c r="Y24" s="6">
        <f>original!E24</f>
        <v>10</v>
      </c>
      <c r="Z24" s="6">
        <f>original!H24</f>
        <v>5</v>
      </c>
    </row>
    <row r="25" spans="1:26">
      <c r="A25" t="s">
        <v>225</v>
      </c>
      <c r="B25" s="6" t="s">
        <v>137</v>
      </c>
      <c r="C25" s="6" t="s">
        <v>28</v>
      </c>
      <c r="D25" s="6" t="s">
        <v>19</v>
      </c>
      <c r="E25" s="6">
        <f t="shared" si="0"/>
        <v>2.083333333333333</v>
      </c>
      <c r="F25" s="6">
        <f t="shared" si="1"/>
        <v>1.0416666666666665</v>
      </c>
      <c r="G25" s="6">
        <f t="shared" si="2"/>
        <v>4.1666666666666664E-2</v>
      </c>
      <c r="H25" s="6">
        <f>original!I25</f>
        <v>11</v>
      </c>
      <c r="I25" s="6">
        <f>original!N25</f>
        <v>22</v>
      </c>
      <c r="J25" s="6">
        <v>80.400000000000006</v>
      </c>
      <c r="K25" s="6">
        <v>0</v>
      </c>
      <c r="L25" s="6">
        <v>0</v>
      </c>
      <c r="M25">
        <v>0</v>
      </c>
      <c r="N25">
        <v>-0.48099999999999998</v>
      </c>
      <c r="P25">
        <v>0</v>
      </c>
      <c r="Q25">
        <v>1</v>
      </c>
      <c r="V25" s="6">
        <f>original!B25+original!D25+original!L25</f>
        <v>4.8000000000000007</v>
      </c>
      <c r="W25" s="6">
        <v>0</v>
      </c>
      <c r="X25" s="6">
        <f>original!M25</f>
        <v>0.2</v>
      </c>
      <c r="Y25" s="6">
        <f>original!E25</f>
        <v>10</v>
      </c>
      <c r="Z25" s="6">
        <f>original!H25</f>
        <v>5</v>
      </c>
    </row>
    <row r="26" spans="1:26">
      <c r="A26" t="s">
        <v>225</v>
      </c>
      <c r="B26" s="6" t="s">
        <v>137</v>
      </c>
      <c r="C26" s="6" t="s">
        <v>28</v>
      </c>
      <c r="D26" s="6" t="s">
        <v>19</v>
      </c>
      <c r="E26" s="6">
        <f t="shared" si="0"/>
        <v>2.083333333333333</v>
      </c>
      <c r="F26" s="6">
        <f t="shared" si="1"/>
        <v>1.0416666666666665</v>
      </c>
      <c r="G26" s="6">
        <f t="shared" si="2"/>
        <v>4.1666666666666664E-2</v>
      </c>
      <c r="H26" s="6">
        <f>original!I26</f>
        <v>12</v>
      </c>
      <c r="I26" s="6">
        <f>original!N26</f>
        <v>22</v>
      </c>
      <c r="J26" s="6">
        <v>80.400000000000006</v>
      </c>
      <c r="K26" s="6">
        <v>0</v>
      </c>
      <c r="L26" s="6">
        <v>0</v>
      </c>
      <c r="M26">
        <v>0</v>
      </c>
      <c r="N26">
        <v>-0.48099999999999998</v>
      </c>
      <c r="P26">
        <v>0</v>
      </c>
      <c r="Q26">
        <v>1</v>
      </c>
      <c r="V26" s="6">
        <f>original!B26+original!D26+original!L26</f>
        <v>4.8000000000000007</v>
      </c>
      <c r="W26" s="6">
        <v>0</v>
      </c>
      <c r="X26" s="6">
        <f>original!M26</f>
        <v>0.2</v>
      </c>
      <c r="Y26" s="6">
        <f>original!E26</f>
        <v>10</v>
      </c>
      <c r="Z26" s="6">
        <f>original!H26</f>
        <v>5</v>
      </c>
    </row>
    <row r="27" spans="1:26">
      <c r="A27" t="s">
        <v>225</v>
      </c>
      <c r="B27" s="6" t="s">
        <v>137</v>
      </c>
      <c r="C27" s="6" t="s">
        <v>28</v>
      </c>
      <c r="D27" s="6" t="s">
        <v>19</v>
      </c>
      <c r="E27" s="6">
        <f t="shared" si="0"/>
        <v>2.083333333333333</v>
      </c>
      <c r="F27" s="6">
        <f t="shared" si="1"/>
        <v>1.0416666666666665</v>
      </c>
      <c r="G27" s="6">
        <f t="shared" si="2"/>
        <v>4.1666666666666664E-2</v>
      </c>
      <c r="H27" s="6">
        <f>original!I27</f>
        <v>12.5</v>
      </c>
      <c r="I27" s="6">
        <f>original!N27</f>
        <v>22</v>
      </c>
      <c r="J27" s="6">
        <v>80.400000000000006</v>
      </c>
      <c r="K27" s="6">
        <v>0</v>
      </c>
      <c r="L27" s="6">
        <v>0</v>
      </c>
      <c r="M27">
        <v>0</v>
      </c>
      <c r="N27">
        <v>-0.48099999999999998</v>
      </c>
      <c r="P27">
        <v>0</v>
      </c>
      <c r="Q27">
        <v>1</v>
      </c>
      <c r="V27" s="6">
        <f>original!B27+original!D27+original!L27</f>
        <v>4.8000000000000007</v>
      </c>
      <c r="W27" s="6">
        <v>0</v>
      </c>
      <c r="X27" s="6">
        <f>original!M27</f>
        <v>0.2</v>
      </c>
      <c r="Y27" s="6">
        <f>original!E27</f>
        <v>10</v>
      </c>
      <c r="Z27" s="6">
        <f>original!H27</f>
        <v>5</v>
      </c>
    </row>
    <row r="28" spans="1:26" ht="17.25" customHeight="1">
      <c r="A28" t="s">
        <v>225</v>
      </c>
      <c r="B28" s="6" t="s">
        <v>137</v>
      </c>
      <c r="C28" s="6" t="s">
        <v>28</v>
      </c>
      <c r="D28" s="6" t="s">
        <v>19</v>
      </c>
      <c r="E28" s="6">
        <f t="shared" si="0"/>
        <v>2.083333333333333</v>
      </c>
      <c r="F28" s="6">
        <f t="shared" si="1"/>
        <v>1.0416666666666665</v>
      </c>
      <c r="G28" s="6">
        <f t="shared" si="2"/>
        <v>4.1666666666666664E-2</v>
      </c>
      <c r="H28" s="6">
        <f>original!I28</f>
        <v>12.8</v>
      </c>
      <c r="I28" s="6">
        <f>original!N28</f>
        <v>22</v>
      </c>
      <c r="J28" s="6">
        <v>80.400000000000006</v>
      </c>
      <c r="K28" s="6">
        <v>0</v>
      </c>
      <c r="L28" s="6">
        <v>0</v>
      </c>
      <c r="M28">
        <v>0</v>
      </c>
      <c r="N28">
        <v>-0.48099999999999998</v>
      </c>
      <c r="P28">
        <v>0</v>
      </c>
      <c r="Q28">
        <v>1</v>
      </c>
      <c r="V28" s="6">
        <f>original!B28+original!D28+original!L28</f>
        <v>4.8000000000000007</v>
      </c>
      <c r="W28" s="6">
        <v>0</v>
      </c>
      <c r="X28" s="6">
        <f>original!M28</f>
        <v>0.2</v>
      </c>
      <c r="Y28" s="6">
        <f>original!E28</f>
        <v>10</v>
      </c>
      <c r="Z28" s="6">
        <f>original!H28</f>
        <v>5</v>
      </c>
    </row>
    <row r="29" spans="1:26" ht="13.5" customHeight="1">
      <c r="A29" s="16" t="s">
        <v>77</v>
      </c>
      <c r="B29" s="17" t="s">
        <v>42</v>
      </c>
      <c r="C29" s="18" t="s">
        <v>270</v>
      </c>
      <c r="D29" s="6" t="s">
        <v>19</v>
      </c>
      <c r="E29" s="6">
        <f>Y29/W29</f>
        <v>30</v>
      </c>
      <c r="F29" s="6">
        <f>Z29/W29</f>
        <v>30</v>
      </c>
      <c r="G29" s="6">
        <f>X29/V29</f>
        <v>400</v>
      </c>
      <c r="H29" s="14">
        <v>7</v>
      </c>
      <c r="I29" s="6">
        <v>0</v>
      </c>
      <c r="J29" s="6">
        <v>2.4</v>
      </c>
      <c r="K29" s="6">
        <v>1</v>
      </c>
      <c r="L29">
        <v>1</v>
      </c>
      <c r="M29">
        <v>1</v>
      </c>
      <c r="N29">
        <v>-0.48099999999999998</v>
      </c>
      <c r="P29">
        <v>1</v>
      </c>
      <c r="Q29">
        <v>1</v>
      </c>
      <c r="V29" s="6">
        <v>50</v>
      </c>
      <c r="W29" s="6">
        <v>30</v>
      </c>
      <c r="X29" s="6">
        <v>20000</v>
      </c>
      <c r="Y29" s="6">
        <v>900</v>
      </c>
      <c r="Z29" s="6">
        <v>900</v>
      </c>
    </row>
    <row r="30" spans="1:26">
      <c r="A30" s="16" t="s">
        <v>87</v>
      </c>
      <c r="B30" s="17" t="s">
        <v>43</v>
      </c>
      <c r="C30" s="18" t="s">
        <v>270</v>
      </c>
      <c r="D30" s="6" t="s">
        <v>19</v>
      </c>
      <c r="E30" s="6">
        <f>Y30/W30</f>
        <v>150.83251714005877</v>
      </c>
      <c r="F30" s="6">
        <f>Z30/W30</f>
        <v>25.07345739471107</v>
      </c>
      <c r="G30" s="6">
        <f>X30/(V30+W30)</f>
        <v>209.66420966420966</v>
      </c>
      <c r="H30" s="14">
        <v>7</v>
      </c>
      <c r="I30" s="6">
        <v>25</v>
      </c>
      <c r="J30" s="6">
        <v>7.4</v>
      </c>
      <c r="K30" s="6">
        <v>1</v>
      </c>
      <c r="L30">
        <v>1</v>
      </c>
      <c r="M30">
        <v>1</v>
      </c>
      <c r="N30">
        <v>-0.48099999999999998</v>
      </c>
      <c r="P30">
        <v>1</v>
      </c>
      <c r="Q30">
        <v>1</v>
      </c>
      <c r="V30" s="6">
        <v>20</v>
      </c>
      <c r="W30" s="6">
        <v>102.1</v>
      </c>
      <c r="X30" s="6">
        <v>25600</v>
      </c>
      <c r="Y30" s="6">
        <v>15400</v>
      </c>
      <c r="Z30" s="6">
        <v>2560</v>
      </c>
    </row>
    <row r="31" spans="1:26">
      <c r="A31" t="s">
        <v>94</v>
      </c>
      <c r="B31" s="6" t="s">
        <v>44</v>
      </c>
      <c r="C31" s="6" t="s">
        <v>257</v>
      </c>
      <c r="D31" s="6" t="s">
        <v>19</v>
      </c>
      <c r="E31" s="6">
        <f>Y31/W31</f>
        <v>200</v>
      </c>
      <c r="F31" s="6">
        <f>Z31/W31</f>
        <v>40</v>
      </c>
      <c r="G31" s="6">
        <f>X31/V31</f>
        <v>133.33333333333334</v>
      </c>
      <c r="H31" s="14">
        <v>7</v>
      </c>
      <c r="I31" s="13">
        <v>25</v>
      </c>
      <c r="J31" s="13">
        <v>32.6</v>
      </c>
      <c r="K31" s="6">
        <v>1</v>
      </c>
      <c r="L31" s="6">
        <v>0</v>
      </c>
      <c r="M31">
        <v>1</v>
      </c>
      <c r="N31">
        <v>-0.48099999999999998</v>
      </c>
      <c r="P31">
        <v>0</v>
      </c>
      <c r="Q31">
        <v>1</v>
      </c>
      <c r="V31" s="6">
        <v>15</v>
      </c>
      <c r="W31" s="6">
        <v>5</v>
      </c>
      <c r="X31" s="6">
        <v>2000</v>
      </c>
      <c r="Y31" s="6">
        <v>1000</v>
      </c>
      <c r="Z31" s="6">
        <v>200</v>
      </c>
    </row>
    <row r="32" spans="1:26">
      <c r="A32" s="16" t="s">
        <v>100</v>
      </c>
      <c r="B32" s="17" t="s">
        <v>44</v>
      </c>
      <c r="C32" s="17" t="s">
        <v>29</v>
      </c>
      <c r="D32" s="6" t="s">
        <v>19</v>
      </c>
      <c r="E32" s="6">
        <v>3</v>
      </c>
      <c r="F32" s="6">
        <v>9</v>
      </c>
      <c r="G32" s="6">
        <v>4.5</v>
      </c>
      <c r="H32" s="14">
        <v>7</v>
      </c>
      <c r="I32" s="6">
        <v>4</v>
      </c>
      <c r="J32" s="6">
        <v>32.6</v>
      </c>
      <c r="K32" s="6">
        <v>0</v>
      </c>
      <c r="L32" s="6">
        <v>0</v>
      </c>
      <c r="M32">
        <v>0</v>
      </c>
      <c r="N32">
        <v>-0.48099999999999998</v>
      </c>
      <c r="P32">
        <v>0</v>
      </c>
      <c r="Q32">
        <v>1</v>
      </c>
      <c r="V32" s="6"/>
      <c r="W32" s="6"/>
      <c r="X32" s="6"/>
      <c r="Y32" s="6"/>
      <c r="Z32" s="6"/>
    </row>
    <row r="33" spans="1:26">
      <c r="A33" s="16" t="s">
        <v>107</v>
      </c>
      <c r="B33" s="17" t="s">
        <v>45</v>
      </c>
      <c r="C33" s="17" t="s">
        <v>29</v>
      </c>
      <c r="D33" s="6" t="s">
        <v>48</v>
      </c>
      <c r="E33" s="6">
        <f>Y33/$V33</f>
        <v>2</v>
      </c>
      <c r="F33" s="6">
        <f>Z33/$V33</f>
        <v>1</v>
      </c>
      <c r="G33" s="6">
        <v>0</v>
      </c>
      <c r="H33" s="6">
        <v>11</v>
      </c>
      <c r="I33" s="6">
        <v>25</v>
      </c>
      <c r="J33" s="6">
        <v>31.6</v>
      </c>
      <c r="K33" s="6">
        <v>0</v>
      </c>
      <c r="L33" s="6">
        <v>0</v>
      </c>
      <c r="M33">
        <v>0</v>
      </c>
      <c r="N33">
        <v>-0.52</v>
      </c>
      <c r="P33">
        <v>0</v>
      </c>
      <c r="Q33">
        <v>1</v>
      </c>
      <c r="V33" s="6">
        <v>10</v>
      </c>
      <c r="W33" s="6">
        <v>0</v>
      </c>
      <c r="X33" s="6">
        <v>0</v>
      </c>
      <c r="Y33" s="6">
        <v>20</v>
      </c>
      <c r="Z33" s="6">
        <v>10</v>
      </c>
    </row>
    <row r="34" spans="1:26">
      <c r="A34" t="s">
        <v>114</v>
      </c>
      <c r="B34" s="6" t="s">
        <v>42</v>
      </c>
      <c r="C34" s="6" t="s">
        <v>62</v>
      </c>
      <c r="D34" s="6" t="s">
        <v>19</v>
      </c>
      <c r="E34" s="6">
        <f>Y34/W34</f>
        <v>85.75</v>
      </c>
      <c r="F34" s="6">
        <f>Z34/W34</f>
        <v>31.75</v>
      </c>
      <c r="G34" s="6">
        <f>X34/V34</f>
        <v>85.875</v>
      </c>
      <c r="H34" s="14">
        <v>7</v>
      </c>
      <c r="I34" s="6">
        <v>25</v>
      </c>
      <c r="J34" s="6">
        <v>2.4</v>
      </c>
      <c r="K34" s="6">
        <v>1</v>
      </c>
      <c r="L34">
        <v>1</v>
      </c>
      <c r="M34">
        <v>0</v>
      </c>
      <c r="N34">
        <v>-0.48099999999999998</v>
      </c>
      <c r="P34">
        <v>1</v>
      </c>
      <c r="Q34">
        <v>1</v>
      </c>
      <c r="V34" s="15">
        <v>8</v>
      </c>
      <c r="W34" s="15">
        <v>8</v>
      </c>
      <c r="X34" s="6">
        <v>687</v>
      </c>
      <c r="Y34" s="6">
        <v>686</v>
      </c>
      <c r="Z34" s="6">
        <v>254</v>
      </c>
    </row>
    <row r="35" spans="1:26">
      <c r="A35" t="s">
        <v>120</v>
      </c>
      <c r="B35" s="6" t="s">
        <v>121</v>
      </c>
      <c r="C35" s="6" t="s">
        <v>28</v>
      </c>
      <c r="D35" s="6" t="s">
        <v>19</v>
      </c>
      <c r="E35" s="6"/>
      <c r="F35" s="6"/>
      <c r="G35" s="6"/>
      <c r="H35" s="6">
        <v>13</v>
      </c>
      <c r="I35" s="13">
        <v>25</v>
      </c>
      <c r="J35" s="13">
        <v>56.5</v>
      </c>
      <c r="K35" s="6">
        <v>0</v>
      </c>
      <c r="L35" s="6">
        <v>0</v>
      </c>
      <c r="M35">
        <v>0</v>
      </c>
      <c r="N35">
        <v>-0.48099999999999998</v>
      </c>
      <c r="P35">
        <v>1</v>
      </c>
      <c r="Q35">
        <v>0</v>
      </c>
      <c r="V35" s="13">
        <v>105</v>
      </c>
      <c r="W35" s="6"/>
      <c r="X35" s="6">
        <v>210</v>
      </c>
      <c r="Y35" s="6">
        <v>1680</v>
      </c>
      <c r="Z35" s="6">
        <v>280</v>
      </c>
    </row>
    <row r="36" spans="1:26">
      <c r="A36" t="s">
        <v>127</v>
      </c>
      <c r="B36" s="6" t="s">
        <v>42</v>
      </c>
      <c r="C36" s="6" t="s">
        <v>130</v>
      </c>
      <c r="D36" s="6" t="s">
        <v>132</v>
      </c>
      <c r="E36" s="6">
        <f>Y36/W36</f>
        <v>800</v>
      </c>
      <c r="F36" s="6">
        <f>Z36/W36</f>
        <v>200</v>
      </c>
      <c r="G36" s="6">
        <f>X36/V36</f>
        <v>1000</v>
      </c>
      <c r="H36" s="14">
        <v>7</v>
      </c>
      <c r="I36" s="6">
        <v>25</v>
      </c>
      <c r="J36" s="6">
        <v>2.4</v>
      </c>
      <c r="K36" s="6">
        <v>1</v>
      </c>
      <c r="L36">
        <v>1</v>
      </c>
      <c r="M36">
        <v>0</v>
      </c>
      <c r="N36">
        <v>-0.48099999999999998</v>
      </c>
      <c r="P36">
        <v>1</v>
      </c>
      <c r="Q36">
        <v>1</v>
      </c>
      <c r="V36" s="6">
        <v>10</v>
      </c>
      <c r="W36" s="6">
        <v>5</v>
      </c>
      <c r="X36" s="6">
        <v>10000</v>
      </c>
      <c r="Y36" s="6">
        <v>4000</v>
      </c>
      <c r="Z36" s="6">
        <v>1000</v>
      </c>
    </row>
    <row r="37" spans="1:26">
      <c r="A37" t="s">
        <v>136</v>
      </c>
      <c r="B37" s="6" t="s">
        <v>137</v>
      </c>
      <c r="C37" s="6" t="s">
        <v>139</v>
      </c>
      <c r="D37" s="7" t="s">
        <v>19</v>
      </c>
      <c r="E37" s="6">
        <f t="shared" ref="E37:F39" si="3">Y37/$V37</f>
        <v>2</v>
      </c>
      <c r="F37" s="6">
        <f t="shared" si="3"/>
        <v>1</v>
      </c>
      <c r="G37" s="6">
        <f>X37/$V37</f>
        <v>2</v>
      </c>
      <c r="H37" s="13">
        <v>11</v>
      </c>
      <c r="I37" s="6">
        <v>25</v>
      </c>
      <c r="J37" s="6">
        <v>80.400000000000006</v>
      </c>
      <c r="K37" s="6">
        <v>1</v>
      </c>
      <c r="L37" s="6">
        <v>0</v>
      </c>
      <c r="M37">
        <v>1</v>
      </c>
      <c r="N37">
        <v>-0.48099999999999998</v>
      </c>
      <c r="P37">
        <v>1</v>
      </c>
      <c r="Q37">
        <v>1</v>
      </c>
      <c r="V37" s="6">
        <v>5</v>
      </c>
      <c r="W37" s="6">
        <v>0</v>
      </c>
      <c r="X37" s="6">
        <v>10</v>
      </c>
      <c r="Y37" s="6">
        <v>10</v>
      </c>
      <c r="Z37" s="6">
        <v>5</v>
      </c>
    </row>
    <row r="38" spans="1:26">
      <c r="A38" t="s">
        <v>144</v>
      </c>
      <c r="B38" s="6" t="s">
        <v>137</v>
      </c>
      <c r="C38" s="6" t="s">
        <v>145</v>
      </c>
      <c r="D38" s="6" t="s">
        <v>19</v>
      </c>
      <c r="E38" s="6">
        <f t="shared" si="3"/>
        <v>2</v>
      </c>
      <c r="F38" s="6">
        <f t="shared" si="3"/>
        <v>1</v>
      </c>
      <c r="G38" s="6">
        <f>X38/$V38</f>
        <v>2</v>
      </c>
      <c r="H38" s="13">
        <v>11</v>
      </c>
      <c r="I38" s="6">
        <v>25</v>
      </c>
      <c r="J38" s="6">
        <v>80.400000000000006</v>
      </c>
      <c r="K38" s="6">
        <v>1</v>
      </c>
      <c r="L38" s="6">
        <v>0</v>
      </c>
      <c r="M38">
        <v>1</v>
      </c>
      <c r="N38">
        <v>-0.48099999999999998</v>
      </c>
      <c r="P38">
        <v>1</v>
      </c>
      <c r="Q38">
        <v>1</v>
      </c>
      <c r="V38" s="6">
        <v>5</v>
      </c>
      <c r="W38" s="6">
        <v>0</v>
      </c>
      <c r="X38" s="6">
        <v>10</v>
      </c>
      <c r="Y38" s="6">
        <v>10</v>
      </c>
      <c r="Z38" s="6">
        <v>5</v>
      </c>
    </row>
    <row r="39" spans="1:26">
      <c r="A39" t="s">
        <v>146</v>
      </c>
      <c r="B39" s="6" t="s">
        <v>137</v>
      </c>
      <c r="C39" s="6" t="s">
        <v>147</v>
      </c>
      <c r="D39" s="6" t="s">
        <v>132</v>
      </c>
      <c r="E39" s="6">
        <f t="shared" si="3"/>
        <v>2</v>
      </c>
      <c r="F39" s="6">
        <f t="shared" si="3"/>
        <v>1</v>
      </c>
      <c r="G39" s="6">
        <f>X39/$V39</f>
        <v>2</v>
      </c>
      <c r="H39" s="13">
        <v>11</v>
      </c>
      <c r="I39" s="6">
        <v>25</v>
      </c>
      <c r="J39" s="6">
        <v>80.400000000000006</v>
      </c>
      <c r="K39" s="6">
        <v>1</v>
      </c>
      <c r="L39" s="6">
        <v>0</v>
      </c>
      <c r="M39">
        <v>1</v>
      </c>
      <c r="N39">
        <v>-0.48099999999999998</v>
      </c>
      <c r="P39">
        <v>1</v>
      </c>
      <c r="Q39">
        <v>1</v>
      </c>
      <c r="V39" s="6">
        <v>5</v>
      </c>
      <c r="W39" s="6">
        <v>0</v>
      </c>
      <c r="X39" s="6">
        <v>10</v>
      </c>
      <c r="Y39" s="6">
        <v>10</v>
      </c>
      <c r="Z39" s="6">
        <v>5</v>
      </c>
    </row>
    <row r="40" spans="1:26">
      <c r="A40" t="s">
        <v>148</v>
      </c>
      <c r="B40" s="6" t="s">
        <v>149</v>
      </c>
      <c r="C40" s="6" t="s">
        <v>150</v>
      </c>
      <c r="D40" s="6" t="s">
        <v>19</v>
      </c>
      <c r="E40" s="6"/>
      <c r="F40" s="6"/>
      <c r="G40" s="6"/>
      <c r="H40" s="13">
        <v>11</v>
      </c>
      <c r="I40" s="6">
        <v>25</v>
      </c>
      <c r="J40" s="6">
        <v>57.96</v>
      </c>
      <c r="K40" s="6">
        <v>1</v>
      </c>
      <c r="L40" s="6">
        <v>0</v>
      </c>
      <c r="M40">
        <v>1</v>
      </c>
      <c r="N40">
        <v>-0.48099999999999998</v>
      </c>
      <c r="P40">
        <v>1</v>
      </c>
      <c r="Q40">
        <v>0</v>
      </c>
      <c r="V40" s="6">
        <v>5</v>
      </c>
      <c r="W40" s="6"/>
      <c r="X40" s="6">
        <v>10</v>
      </c>
      <c r="Y40" s="6">
        <v>10</v>
      </c>
      <c r="Z40" s="6">
        <v>5</v>
      </c>
    </row>
    <row r="41" spans="1:26">
      <c r="A41" t="s">
        <v>151</v>
      </c>
      <c r="B41" s="6" t="s">
        <v>152</v>
      </c>
      <c r="C41" s="6" t="s">
        <v>153</v>
      </c>
      <c r="D41" s="6" t="s">
        <v>132</v>
      </c>
      <c r="E41" s="6"/>
      <c r="F41" s="6"/>
      <c r="G41" s="6"/>
      <c r="H41" s="13">
        <v>11</v>
      </c>
      <c r="I41" s="6">
        <v>25</v>
      </c>
      <c r="J41" s="6">
        <v>46.74</v>
      </c>
      <c r="K41" s="6">
        <v>1</v>
      </c>
      <c r="L41" s="6">
        <v>0</v>
      </c>
      <c r="M41">
        <v>1</v>
      </c>
      <c r="N41">
        <v>-0.48099999999999998</v>
      </c>
      <c r="P41">
        <v>1</v>
      </c>
      <c r="Q41">
        <v>0</v>
      </c>
      <c r="V41" s="6">
        <v>5</v>
      </c>
      <c r="W41" s="6"/>
      <c r="X41" s="6">
        <v>10</v>
      </c>
      <c r="Y41" s="6">
        <v>10</v>
      </c>
      <c r="Z41" s="6">
        <v>5</v>
      </c>
    </row>
    <row r="42" spans="1:26">
      <c r="A42" t="s">
        <v>136</v>
      </c>
      <c r="B42" s="6" t="s">
        <v>155</v>
      </c>
      <c r="C42" s="6" t="s">
        <v>156</v>
      </c>
      <c r="D42" s="6" t="s">
        <v>48</v>
      </c>
      <c r="E42" s="6">
        <f>Y42/$V42</f>
        <v>2</v>
      </c>
      <c r="F42" s="6">
        <f>Z42/$V42</f>
        <v>1</v>
      </c>
      <c r="G42" s="6">
        <f>X42/$V42</f>
        <v>0</v>
      </c>
      <c r="H42" s="6">
        <v>12</v>
      </c>
      <c r="I42" s="13">
        <v>25</v>
      </c>
      <c r="J42" s="13">
        <v>80.400000000000006</v>
      </c>
      <c r="K42" s="6">
        <v>1</v>
      </c>
      <c r="L42" s="6">
        <v>0</v>
      </c>
      <c r="M42">
        <v>1</v>
      </c>
      <c r="N42">
        <v>-0.52</v>
      </c>
      <c r="P42">
        <v>1</v>
      </c>
      <c r="Q42">
        <v>1</v>
      </c>
      <c r="V42" s="6">
        <v>5</v>
      </c>
      <c r="W42" s="6">
        <v>0</v>
      </c>
      <c r="X42" s="6">
        <v>0</v>
      </c>
      <c r="Y42" s="6">
        <v>10</v>
      </c>
      <c r="Z42" s="6">
        <v>5</v>
      </c>
    </row>
    <row r="43" spans="1:26">
      <c r="A43" t="s">
        <v>161</v>
      </c>
      <c r="B43" s="6" t="s">
        <v>155</v>
      </c>
      <c r="C43" s="6" t="s">
        <v>162</v>
      </c>
      <c r="D43" s="6" t="s">
        <v>48</v>
      </c>
      <c r="E43" s="6">
        <f>Y43/$V43</f>
        <v>2</v>
      </c>
      <c r="F43" s="6">
        <f>Z43/$V43</f>
        <v>1</v>
      </c>
      <c r="G43" s="6">
        <f>X43/$V43</f>
        <v>0</v>
      </c>
      <c r="H43" s="6">
        <v>12</v>
      </c>
      <c r="I43" s="13">
        <v>25</v>
      </c>
      <c r="J43" s="13">
        <v>80.400000000000006</v>
      </c>
      <c r="K43" s="6">
        <v>1</v>
      </c>
      <c r="L43" s="6">
        <v>0</v>
      </c>
      <c r="M43">
        <v>1</v>
      </c>
      <c r="N43">
        <v>-0.52</v>
      </c>
      <c r="P43">
        <v>1</v>
      </c>
      <c r="Q43">
        <v>1</v>
      </c>
      <c r="V43" s="6">
        <v>5</v>
      </c>
      <c r="W43" s="6">
        <v>0</v>
      </c>
      <c r="X43" s="6">
        <v>0</v>
      </c>
      <c r="Y43" s="6">
        <v>10</v>
      </c>
      <c r="Z43" s="6">
        <v>5</v>
      </c>
    </row>
    <row r="44" spans="1:26">
      <c r="A44" t="s">
        <v>163</v>
      </c>
      <c r="B44" s="6" t="s">
        <v>155</v>
      </c>
      <c r="C44" s="6" t="s">
        <v>164</v>
      </c>
      <c r="D44" s="6" t="s">
        <v>48</v>
      </c>
      <c r="E44" s="6"/>
      <c r="F44" s="6"/>
      <c r="G44" s="6"/>
      <c r="H44" s="14">
        <v>7</v>
      </c>
      <c r="I44" s="13">
        <v>25</v>
      </c>
      <c r="J44" s="13"/>
      <c r="K44" s="13"/>
      <c r="L44" s="13"/>
      <c r="P44">
        <v>1</v>
      </c>
      <c r="Q44">
        <v>0</v>
      </c>
      <c r="V44" s="6"/>
      <c r="W44" s="6"/>
      <c r="X44" s="6">
        <v>0</v>
      </c>
      <c r="Y44" s="6"/>
      <c r="Z44" s="6"/>
    </row>
    <row r="45" spans="1:26">
      <c r="A45" t="s">
        <v>166</v>
      </c>
      <c r="B45" s="6" t="s">
        <v>155</v>
      </c>
      <c r="C45" s="6" t="s">
        <v>167</v>
      </c>
      <c r="D45" s="6" t="s">
        <v>48</v>
      </c>
      <c r="E45" s="6"/>
      <c r="F45" s="6"/>
      <c r="G45" s="6"/>
      <c r="H45" s="14">
        <v>7</v>
      </c>
      <c r="I45" s="13">
        <v>25</v>
      </c>
      <c r="J45" s="13"/>
      <c r="K45" s="13"/>
      <c r="L45" s="13"/>
      <c r="P45">
        <v>1</v>
      </c>
      <c r="Q45">
        <v>0</v>
      </c>
      <c r="V45" s="6"/>
      <c r="W45" s="6"/>
      <c r="X45" s="6">
        <v>0</v>
      </c>
      <c r="Y45" s="6"/>
      <c r="Z45" s="6"/>
    </row>
    <row r="46" spans="1:26">
      <c r="A46" t="s">
        <v>169</v>
      </c>
      <c r="B46" s="6" t="s">
        <v>43</v>
      </c>
      <c r="C46" s="6"/>
      <c r="D46" s="6" t="s">
        <v>171</v>
      </c>
      <c r="E46" s="6"/>
      <c r="F46" s="6"/>
      <c r="G46" s="6"/>
      <c r="H46" s="14">
        <v>7</v>
      </c>
      <c r="I46" s="13">
        <v>25</v>
      </c>
      <c r="J46" s="13"/>
      <c r="K46" s="13"/>
      <c r="L46" s="13"/>
      <c r="P46">
        <v>1</v>
      </c>
      <c r="Q46">
        <v>0</v>
      </c>
      <c r="V46" s="6"/>
      <c r="W46" s="6"/>
      <c r="X46" s="6">
        <v>0</v>
      </c>
      <c r="Y46" s="6"/>
      <c r="Z46" s="6"/>
    </row>
    <row r="47" spans="1:26">
      <c r="A47" t="s">
        <v>174</v>
      </c>
      <c r="B47" s="6" t="s">
        <v>43</v>
      </c>
      <c r="C47" s="6" t="s">
        <v>39</v>
      </c>
      <c r="D47" s="6" t="s">
        <v>178</v>
      </c>
      <c r="E47" s="6"/>
      <c r="F47" s="6"/>
      <c r="G47" s="6"/>
      <c r="H47" s="14">
        <v>7</v>
      </c>
      <c r="I47" s="13">
        <v>25</v>
      </c>
      <c r="J47" s="13">
        <v>7.4</v>
      </c>
      <c r="K47" s="6">
        <v>1</v>
      </c>
      <c r="L47">
        <v>1</v>
      </c>
      <c r="M47">
        <v>1</v>
      </c>
      <c r="N47">
        <v>-0.48099999999999998</v>
      </c>
      <c r="P47">
        <v>1</v>
      </c>
      <c r="Q47">
        <v>0</v>
      </c>
      <c r="V47" s="6">
        <v>7.5</v>
      </c>
      <c r="W47" s="6"/>
      <c r="X47" s="6">
        <v>1000</v>
      </c>
      <c r="Y47" s="6">
        <v>20</v>
      </c>
      <c r="Z47" s="6">
        <v>100</v>
      </c>
    </row>
    <row r="48" spans="1:26">
      <c r="A48" t="s">
        <v>181</v>
      </c>
      <c r="B48" s="6" t="s">
        <v>43</v>
      </c>
      <c r="C48" s="6" t="s">
        <v>183</v>
      </c>
      <c r="D48" s="6" t="s">
        <v>178</v>
      </c>
      <c r="E48" s="6">
        <f>Y48/W48</f>
        <v>625</v>
      </c>
      <c r="F48" s="6">
        <f>Z48/W48</f>
        <v>125</v>
      </c>
      <c r="G48" s="6">
        <f>X48/V48</f>
        <v>250</v>
      </c>
      <c r="H48" s="14">
        <v>7</v>
      </c>
      <c r="I48" s="13">
        <v>25</v>
      </c>
      <c r="J48" s="13">
        <v>7.4</v>
      </c>
      <c r="K48" s="6">
        <v>1</v>
      </c>
      <c r="L48" s="13">
        <v>1</v>
      </c>
      <c r="M48">
        <v>1</v>
      </c>
      <c r="N48">
        <v>-0.48099999999999998</v>
      </c>
      <c r="P48">
        <v>0</v>
      </c>
      <c r="Q48">
        <v>1</v>
      </c>
      <c r="V48" s="13">
        <v>5</v>
      </c>
      <c r="W48" s="6">
        <v>1</v>
      </c>
      <c r="X48" s="6">
        <v>1250</v>
      </c>
      <c r="Y48" s="6">
        <v>625</v>
      </c>
      <c r="Z48" s="6">
        <v>125</v>
      </c>
    </row>
    <row r="49" spans="1:26">
      <c r="A49" t="s">
        <v>190</v>
      </c>
      <c r="B49" s="6" t="s">
        <v>191</v>
      </c>
      <c r="C49" s="6" t="s">
        <v>38</v>
      </c>
      <c r="D49" s="6" t="s">
        <v>178</v>
      </c>
      <c r="E49" s="6">
        <f>Y49/W49</f>
        <v>100</v>
      </c>
      <c r="F49" s="6">
        <f>Z49/W49</f>
        <v>25</v>
      </c>
      <c r="G49" s="6">
        <f>X49/V49</f>
        <v>833.33333333333337</v>
      </c>
      <c r="H49" s="14">
        <v>7</v>
      </c>
      <c r="I49" s="6">
        <v>0</v>
      </c>
      <c r="J49" s="6">
        <v>20.7</v>
      </c>
      <c r="K49" s="6">
        <v>1</v>
      </c>
      <c r="L49" s="6">
        <v>0</v>
      </c>
      <c r="M49">
        <v>1</v>
      </c>
      <c r="N49">
        <v>-0.48099999999999998</v>
      </c>
      <c r="P49">
        <v>1</v>
      </c>
      <c r="Q49">
        <v>1</v>
      </c>
      <c r="V49" s="6">
        <v>6</v>
      </c>
      <c r="W49" s="6">
        <v>20</v>
      </c>
      <c r="X49" s="6">
        <v>5000</v>
      </c>
      <c r="Y49" s="6">
        <v>2000</v>
      </c>
      <c r="Z49" s="6">
        <v>500</v>
      </c>
    </row>
    <row r="50" spans="1:26">
      <c r="A50" t="s">
        <v>199</v>
      </c>
      <c r="B50" s="6" t="s">
        <v>155</v>
      </c>
      <c r="C50" s="6" t="s">
        <v>153</v>
      </c>
      <c r="D50" s="6" t="s">
        <v>48</v>
      </c>
      <c r="E50" s="6">
        <f t="shared" ref="E50:F56" si="4">Y50/$V50</f>
        <v>2</v>
      </c>
      <c r="F50" s="6">
        <f t="shared" si="4"/>
        <v>1</v>
      </c>
      <c r="G50" s="6">
        <f t="shared" ref="G50:G56" si="5">X50/$V50</f>
        <v>0</v>
      </c>
      <c r="H50" s="6">
        <v>7</v>
      </c>
      <c r="I50" s="6">
        <v>25</v>
      </c>
      <c r="J50" s="6">
        <v>80.400000000000006</v>
      </c>
      <c r="K50" s="6">
        <v>1</v>
      </c>
      <c r="L50" s="6">
        <v>0</v>
      </c>
      <c r="M50">
        <v>1</v>
      </c>
      <c r="N50">
        <v>-0.52</v>
      </c>
      <c r="P50">
        <v>1</v>
      </c>
      <c r="Q50">
        <v>1</v>
      </c>
      <c r="V50" s="6">
        <v>250</v>
      </c>
      <c r="W50" s="6">
        <v>0</v>
      </c>
      <c r="X50" s="6">
        <v>0</v>
      </c>
      <c r="Y50" s="6">
        <v>500</v>
      </c>
      <c r="Z50" s="6">
        <v>250</v>
      </c>
    </row>
    <row r="51" spans="1:26">
      <c r="A51" t="s">
        <v>206</v>
      </c>
      <c r="B51" s="6" t="s">
        <v>207</v>
      </c>
      <c r="C51" s="6" t="s">
        <v>153</v>
      </c>
      <c r="D51" s="6" t="s">
        <v>48</v>
      </c>
      <c r="E51" s="6">
        <f t="shared" si="4"/>
        <v>2</v>
      </c>
      <c r="F51" s="6">
        <f t="shared" si="4"/>
        <v>1</v>
      </c>
      <c r="G51" s="6">
        <f t="shared" si="5"/>
        <v>0</v>
      </c>
      <c r="H51" s="6">
        <v>9</v>
      </c>
      <c r="I51" s="6">
        <v>25</v>
      </c>
      <c r="J51" s="6">
        <v>80.400000000000006</v>
      </c>
      <c r="K51" s="6">
        <v>1</v>
      </c>
      <c r="L51" s="6">
        <v>0</v>
      </c>
      <c r="M51">
        <v>1</v>
      </c>
      <c r="N51">
        <v>-0.52</v>
      </c>
      <c r="P51">
        <v>1</v>
      </c>
      <c r="Q51">
        <v>1</v>
      </c>
      <c r="V51" s="6">
        <v>250</v>
      </c>
      <c r="W51" s="6">
        <v>0</v>
      </c>
      <c r="X51" s="6">
        <v>0</v>
      </c>
      <c r="Y51" s="6">
        <v>500</v>
      </c>
      <c r="Z51" s="6">
        <v>250</v>
      </c>
    </row>
    <row r="52" spans="1:26">
      <c r="A52" t="s">
        <v>208</v>
      </c>
      <c r="B52" s="6" t="s">
        <v>155</v>
      </c>
      <c r="C52" s="6" t="s">
        <v>153</v>
      </c>
      <c r="D52" s="6" t="s">
        <v>48</v>
      </c>
      <c r="E52" s="6">
        <f t="shared" si="4"/>
        <v>2</v>
      </c>
      <c r="F52" s="6">
        <f t="shared" si="4"/>
        <v>1</v>
      </c>
      <c r="G52" s="6">
        <f t="shared" si="5"/>
        <v>0</v>
      </c>
      <c r="H52" s="6">
        <v>10</v>
      </c>
      <c r="I52" s="6">
        <v>25</v>
      </c>
      <c r="J52" s="6">
        <v>80.400000000000006</v>
      </c>
      <c r="K52" s="6">
        <v>1</v>
      </c>
      <c r="L52" s="6">
        <v>0</v>
      </c>
      <c r="M52">
        <v>1</v>
      </c>
      <c r="N52">
        <v>-0.52</v>
      </c>
      <c r="P52">
        <v>1</v>
      </c>
      <c r="Q52">
        <v>1</v>
      </c>
      <c r="V52" s="6">
        <v>250</v>
      </c>
      <c r="W52" s="6">
        <v>0</v>
      </c>
      <c r="X52" s="6">
        <v>0</v>
      </c>
      <c r="Y52" s="6">
        <v>500</v>
      </c>
      <c r="Z52" s="6">
        <v>250</v>
      </c>
    </row>
    <row r="53" spans="1:26">
      <c r="A53" t="s">
        <v>209</v>
      </c>
      <c r="B53" s="6" t="s">
        <v>155</v>
      </c>
      <c r="C53" s="6" t="s">
        <v>153</v>
      </c>
      <c r="D53" s="6" t="s">
        <v>48</v>
      </c>
      <c r="E53" s="6">
        <f t="shared" si="4"/>
        <v>2</v>
      </c>
      <c r="F53" s="6">
        <f t="shared" si="4"/>
        <v>1</v>
      </c>
      <c r="G53" s="6">
        <f t="shared" si="5"/>
        <v>0</v>
      </c>
      <c r="H53" s="6">
        <v>11</v>
      </c>
      <c r="I53" s="6">
        <v>25</v>
      </c>
      <c r="J53" s="6">
        <v>80.400000000000006</v>
      </c>
      <c r="K53" s="6">
        <v>1</v>
      </c>
      <c r="L53" s="6">
        <v>0</v>
      </c>
      <c r="M53">
        <v>1</v>
      </c>
      <c r="N53">
        <v>-0.52</v>
      </c>
      <c r="P53">
        <v>1</v>
      </c>
      <c r="Q53">
        <v>1</v>
      </c>
      <c r="V53" s="6">
        <v>250</v>
      </c>
      <c r="W53" s="6">
        <v>0</v>
      </c>
      <c r="X53" s="6">
        <v>0</v>
      </c>
      <c r="Y53" s="6">
        <v>500</v>
      </c>
      <c r="Z53" s="6">
        <v>250</v>
      </c>
    </row>
    <row r="54" spans="1:26">
      <c r="A54" t="s">
        <v>210</v>
      </c>
      <c r="B54" s="6" t="s">
        <v>155</v>
      </c>
      <c r="C54" s="6" t="s">
        <v>156</v>
      </c>
      <c r="D54" s="6" t="s">
        <v>48</v>
      </c>
      <c r="E54" s="6">
        <f t="shared" si="4"/>
        <v>2</v>
      </c>
      <c r="F54" s="6">
        <f t="shared" si="4"/>
        <v>1</v>
      </c>
      <c r="G54" s="6">
        <f t="shared" si="5"/>
        <v>0</v>
      </c>
      <c r="H54" s="6">
        <v>10</v>
      </c>
      <c r="I54" s="6">
        <v>25</v>
      </c>
      <c r="J54" s="6">
        <v>80.400000000000006</v>
      </c>
      <c r="K54" s="6">
        <v>1</v>
      </c>
      <c r="L54" s="6">
        <v>0</v>
      </c>
      <c r="M54">
        <v>1</v>
      </c>
      <c r="N54">
        <v>-0.52</v>
      </c>
      <c r="P54">
        <v>1</v>
      </c>
      <c r="Q54">
        <v>1</v>
      </c>
      <c r="V54" s="6">
        <v>250</v>
      </c>
      <c r="W54" s="6">
        <v>0</v>
      </c>
      <c r="X54" s="6">
        <v>0</v>
      </c>
      <c r="Y54" s="6">
        <v>500</v>
      </c>
      <c r="Z54" s="6">
        <v>250</v>
      </c>
    </row>
    <row r="55" spans="1:26">
      <c r="A55" t="s">
        <v>211</v>
      </c>
      <c r="B55" s="6" t="s">
        <v>155</v>
      </c>
      <c r="C55" s="6" t="s">
        <v>156</v>
      </c>
      <c r="D55" s="6" t="s">
        <v>48</v>
      </c>
      <c r="E55" s="6">
        <f t="shared" si="4"/>
        <v>2</v>
      </c>
      <c r="F55" s="6">
        <f t="shared" si="4"/>
        <v>1</v>
      </c>
      <c r="G55" s="6">
        <f t="shared" si="5"/>
        <v>0</v>
      </c>
      <c r="H55" s="6">
        <v>11</v>
      </c>
      <c r="I55" s="6">
        <v>25</v>
      </c>
      <c r="J55" s="6">
        <v>80.400000000000006</v>
      </c>
      <c r="K55" s="6">
        <v>1</v>
      </c>
      <c r="L55" s="6">
        <v>0</v>
      </c>
      <c r="M55">
        <v>1</v>
      </c>
      <c r="N55">
        <v>-0.52</v>
      </c>
      <c r="P55">
        <v>1</v>
      </c>
      <c r="Q55">
        <v>1</v>
      </c>
      <c r="V55" s="6">
        <v>250</v>
      </c>
      <c r="W55" s="6">
        <v>0</v>
      </c>
      <c r="X55" s="6">
        <v>0</v>
      </c>
      <c r="Y55" s="6">
        <v>500</v>
      </c>
      <c r="Z55" s="6">
        <v>250</v>
      </c>
    </row>
    <row r="56" spans="1:26">
      <c r="A56" t="s">
        <v>136</v>
      </c>
      <c r="B56" s="6" t="s">
        <v>155</v>
      </c>
      <c r="C56" s="6" t="s">
        <v>156</v>
      </c>
      <c r="D56" s="6" t="s">
        <v>48</v>
      </c>
      <c r="E56" s="6">
        <f t="shared" si="4"/>
        <v>2</v>
      </c>
      <c r="F56" s="6">
        <f t="shared" si="4"/>
        <v>1</v>
      </c>
      <c r="G56" s="6">
        <f t="shared" si="5"/>
        <v>0</v>
      </c>
      <c r="H56" s="6">
        <v>12</v>
      </c>
      <c r="I56" s="6">
        <v>25</v>
      </c>
      <c r="J56" s="6">
        <v>80.400000000000006</v>
      </c>
      <c r="K56" s="6">
        <v>1</v>
      </c>
      <c r="L56" s="6">
        <v>0</v>
      </c>
      <c r="M56">
        <v>1</v>
      </c>
      <c r="N56">
        <v>-0.52</v>
      </c>
      <c r="P56">
        <v>1</v>
      </c>
      <c r="Q56">
        <v>1</v>
      </c>
      <c r="V56" s="6">
        <v>250</v>
      </c>
      <c r="W56" s="6">
        <v>0</v>
      </c>
      <c r="X56" s="6">
        <v>0</v>
      </c>
      <c r="Y56" s="6">
        <v>500</v>
      </c>
      <c r="Z56" s="6">
        <v>250</v>
      </c>
    </row>
    <row r="57" spans="1:26">
      <c r="A57" t="s">
        <v>213</v>
      </c>
      <c r="B57" s="6" t="s">
        <v>214</v>
      </c>
      <c r="C57" s="6" t="s">
        <v>249</v>
      </c>
      <c r="D57" s="6" t="s">
        <v>19</v>
      </c>
      <c r="E57" s="6">
        <f>Y57/W57</f>
        <v>1021</v>
      </c>
      <c r="F57" s="6">
        <f>Z57/W57</f>
        <v>250</v>
      </c>
      <c r="G57" s="6">
        <f>X57/V57</f>
        <v>50</v>
      </c>
      <c r="H57" s="14">
        <v>7</v>
      </c>
      <c r="I57" s="13">
        <v>25</v>
      </c>
      <c r="J57" s="13">
        <v>7.4</v>
      </c>
      <c r="K57" s="6">
        <v>1</v>
      </c>
      <c r="L57" s="13">
        <v>1</v>
      </c>
      <c r="M57">
        <v>1</v>
      </c>
      <c r="N57">
        <v>-0.48099999999999998</v>
      </c>
      <c r="P57">
        <v>1</v>
      </c>
      <c r="Q57">
        <v>1</v>
      </c>
      <c r="V57" s="13">
        <v>10</v>
      </c>
      <c r="W57" s="6">
        <v>1</v>
      </c>
      <c r="X57" s="6">
        <v>500</v>
      </c>
      <c r="Y57" s="6">
        <v>1021</v>
      </c>
      <c r="Z57" s="6">
        <v>250</v>
      </c>
    </row>
    <row r="58" spans="1:26">
      <c r="A58" t="s">
        <v>301</v>
      </c>
      <c r="B58" t="s">
        <v>46</v>
      </c>
      <c r="C58" s="19" t="s">
        <v>38</v>
      </c>
      <c r="D58" t="s">
        <v>19</v>
      </c>
      <c r="E58" s="6">
        <f t="shared" ref="E58:E62" si="6">Y58/W58</f>
        <v>333.33333333333331</v>
      </c>
      <c r="F58" s="6">
        <f t="shared" ref="F58:F62" si="7">Z58/W58</f>
        <v>83.333333333333329</v>
      </c>
      <c r="G58" s="6">
        <f t="shared" ref="G58:G62" si="8">X58/V58</f>
        <v>250</v>
      </c>
      <c r="H58" s="6">
        <v>7</v>
      </c>
      <c r="I58">
        <v>0</v>
      </c>
      <c r="J58">
        <v>20.7</v>
      </c>
      <c r="K58" s="6">
        <v>1</v>
      </c>
      <c r="L58" s="6">
        <v>0</v>
      </c>
      <c r="M58">
        <v>1</v>
      </c>
      <c r="N58">
        <v>-0.48099999999999998</v>
      </c>
      <c r="P58">
        <v>0</v>
      </c>
      <c r="Q58">
        <v>1</v>
      </c>
      <c r="V58">
        <v>20</v>
      </c>
      <c r="W58" s="6">
        <v>6</v>
      </c>
      <c r="X58">
        <v>5000</v>
      </c>
      <c r="Y58">
        <f>jiali!E32</f>
        <v>2000</v>
      </c>
      <c r="Z58">
        <f>jiali!F32</f>
        <v>500</v>
      </c>
    </row>
    <row r="59" spans="1:26">
      <c r="A59" t="s">
        <v>307</v>
      </c>
      <c r="B59" t="s">
        <v>44</v>
      </c>
      <c r="C59" s="19" t="s">
        <v>318</v>
      </c>
      <c r="D59" t="s">
        <v>19</v>
      </c>
      <c r="E59" s="6">
        <f t="shared" si="6"/>
        <v>265</v>
      </c>
      <c r="F59" s="6">
        <f t="shared" si="7"/>
        <v>50</v>
      </c>
      <c r="G59" s="6">
        <f t="shared" si="8"/>
        <v>200</v>
      </c>
      <c r="H59" s="6">
        <v>7</v>
      </c>
      <c r="I59">
        <v>25</v>
      </c>
      <c r="J59">
        <v>32.6</v>
      </c>
      <c r="K59" s="6">
        <v>1</v>
      </c>
      <c r="L59">
        <v>1</v>
      </c>
      <c r="M59">
        <v>1</v>
      </c>
      <c r="N59">
        <v>-0.48099999999999998</v>
      </c>
      <c r="P59">
        <v>0</v>
      </c>
      <c r="Q59">
        <v>1</v>
      </c>
      <c r="V59">
        <v>15</v>
      </c>
      <c r="W59" s="6">
        <v>6</v>
      </c>
      <c r="X59">
        <v>3000</v>
      </c>
      <c r="Y59">
        <f>jiali!E33</f>
        <v>1590</v>
      </c>
      <c r="Z59">
        <f>jiali!F33</f>
        <v>300</v>
      </c>
    </row>
    <row r="60" spans="1:26">
      <c r="A60" t="s">
        <v>313</v>
      </c>
      <c r="B60" t="s">
        <v>44</v>
      </c>
      <c r="C60" s="6" t="s">
        <v>40</v>
      </c>
      <c r="D60" t="s">
        <v>19</v>
      </c>
      <c r="E60" s="6">
        <f t="shared" si="6"/>
        <v>266.66666666666669</v>
      </c>
      <c r="F60" s="6">
        <f t="shared" si="7"/>
        <v>50</v>
      </c>
      <c r="G60" s="6">
        <f t="shared" si="8"/>
        <v>200</v>
      </c>
      <c r="H60" s="6">
        <v>7</v>
      </c>
      <c r="I60">
        <v>25</v>
      </c>
      <c r="J60">
        <v>32.6</v>
      </c>
      <c r="K60" s="6">
        <v>1</v>
      </c>
      <c r="L60">
        <v>1</v>
      </c>
      <c r="M60">
        <v>1</v>
      </c>
      <c r="N60">
        <v>-0.48099999999999998</v>
      </c>
      <c r="P60">
        <v>1</v>
      </c>
      <c r="Q60">
        <v>1</v>
      </c>
      <c r="V60">
        <v>15</v>
      </c>
      <c r="W60" s="6">
        <v>6</v>
      </c>
      <c r="X60">
        <v>3000</v>
      </c>
      <c r="Y60">
        <f>jiali!E34</f>
        <v>1600</v>
      </c>
      <c r="Z60">
        <f>jiali!F34</f>
        <v>300</v>
      </c>
    </row>
    <row r="61" spans="1:26">
      <c r="A61" t="s">
        <v>316</v>
      </c>
      <c r="B61" t="s">
        <v>44</v>
      </c>
      <c r="C61" s="19" t="s">
        <v>318</v>
      </c>
      <c r="D61" t="s">
        <v>19</v>
      </c>
      <c r="E61" s="6">
        <f t="shared" si="6"/>
        <v>132.5</v>
      </c>
      <c r="F61" s="6">
        <f t="shared" si="7"/>
        <v>25</v>
      </c>
      <c r="G61" s="6">
        <f t="shared" si="8"/>
        <v>400</v>
      </c>
      <c r="H61" s="6">
        <v>7</v>
      </c>
      <c r="I61">
        <v>0</v>
      </c>
      <c r="J61">
        <v>32.6</v>
      </c>
      <c r="K61" s="6">
        <v>1</v>
      </c>
      <c r="L61">
        <v>1</v>
      </c>
      <c r="M61">
        <v>1</v>
      </c>
      <c r="N61">
        <v>-0.48099999999999998</v>
      </c>
      <c r="P61">
        <v>1</v>
      </c>
      <c r="Q61">
        <v>1</v>
      </c>
      <c r="V61">
        <v>30</v>
      </c>
      <c r="W61" s="6">
        <v>24</v>
      </c>
      <c r="X61">
        <v>12000</v>
      </c>
      <c r="Y61">
        <f>jiali!E35</f>
        <v>3180</v>
      </c>
      <c r="Z61">
        <f>jiali!F35</f>
        <v>600</v>
      </c>
    </row>
    <row r="62" spans="1:26">
      <c r="A62" t="s">
        <v>321</v>
      </c>
      <c r="B62" s="6" t="s">
        <v>47</v>
      </c>
      <c r="C62" t="s">
        <v>322</v>
      </c>
      <c r="D62" t="s">
        <v>19</v>
      </c>
      <c r="E62" s="6">
        <f t="shared" si="6"/>
        <v>84</v>
      </c>
      <c r="F62" s="6">
        <f t="shared" si="7"/>
        <v>42</v>
      </c>
      <c r="G62" s="6">
        <f t="shared" si="8"/>
        <v>140</v>
      </c>
      <c r="H62" s="6">
        <v>7</v>
      </c>
      <c r="I62">
        <v>25</v>
      </c>
      <c r="J62">
        <v>8.93</v>
      </c>
      <c r="K62" s="6">
        <v>1</v>
      </c>
      <c r="L62">
        <v>1</v>
      </c>
      <c r="M62">
        <v>0</v>
      </c>
      <c r="N62">
        <v>-0.48099999999999998</v>
      </c>
      <c r="P62">
        <v>1</v>
      </c>
      <c r="Q62">
        <v>1</v>
      </c>
      <c r="V62">
        <v>15</v>
      </c>
      <c r="W62" s="6">
        <v>5</v>
      </c>
      <c r="X62">
        <v>2100</v>
      </c>
      <c r="Y62">
        <f>jiali!E36</f>
        <v>420</v>
      </c>
      <c r="Z62">
        <f>jiali!F36</f>
        <v>210</v>
      </c>
    </row>
  </sheetData>
  <conditionalFormatting sqref="V1:Z57 V63:Z1048576 W58:Z62 O1:P1048576 A1:I1048576">
    <cfRule type="expression" dxfId="2" priority="5">
      <formula>$Q1=1</formula>
    </cfRule>
  </conditionalFormatting>
  <conditionalFormatting sqref="J1:N1048576">
    <cfRule type="expression" dxfId="1" priority="1">
      <formula>$Q1=1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d1"/>
  <dimension ref="A1:Z55"/>
  <sheetViews>
    <sheetView topLeftCell="B1" workbookViewId="0">
      <pane ySplit="1" topLeftCell="A14" activePane="bottomLeft" state="frozen"/>
      <selection activeCell="C1" sqref="C1"/>
      <selection pane="bottomLeft" activeCell="K34" sqref="K34"/>
    </sheetView>
  </sheetViews>
  <sheetFormatPr defaultRowHeight="15"/>
  <cols>
    <col min="2" max="15" width="14.7109375" customWidth="1"/>
    <col min="19" max="19" width="19.85546875" bestFit="1" customWidth="1"/>
    <col min="22" max="26" width="14.7109375" customWidth="1"/>
  </cols>
  <sheetData>
    <row r="1" spans="1:26">
      <c r="A1" t="s">
        <v>63</v>
      </c>
      <c r="B1" s="6" t="s">
        <v>16</v>
      </c>
      <c r="C1" s="6" t="s">
        <v>0</v>
      </c>
      <c r="D1" s="6" t="s">
        <v>2</v>
      </c>
      <c r="E1" s="6" t="s">
        <v>291</v>
      </c>
      <c r="F1" s="6" t="s">
        <v>292</v>
      </c>
      <c r="G1" s="6" t="s">
        <v>293</v>
      </c>
      <c r="H1" s="6" t="s">
        <v>1</v>
      </c>
      <c r="I1" s="6" t="s">
        <v>224</v>
      </c>
      <c r="J1" s="6" t="s">
        <v>336</v>
      </c>
      <c r="K1" s="6" t="s">
        <v>339</v>
      </c>
      <c r="L1" s="6" t="s">
        <v>338</v>
      </c>
      <c r="M1" t="s">
        <v>340</v>
      </c>
      <c r="N1" t="s">
        <v>337</v>
      </c>
      <c r="P1" t="s">
        <v>220</v>
      </c>
      <c r="Q1" t="s">
        <v>334</v>
      </c>
      <c r="V1" s="6" t="s">
        <v>289</v>
      </c>
      <c r="W1" s="6" t="s">
        <v>290</v>
      </c>
      <c r="X1" s="6" t="s">
        <v>223</v>
      </c>
      <c r="Y1" s="6" t="s">
        <v>221</v>
      </c>
      <c r="Z1" s="6" t="s">
        <v>222</v>
      </c>
    </row>
    <row r="2" spans="1:26">
      <c r="A2" t="s">
        <v>225</v>
      </c>
      <c r="B2" s="6" t="s">
        <v>137</v>
      </c>
      <c r="C2" s="6" t="s">
        <v>7</v>
      </c>
      <c r="D2" s="6" t="s">
        <v>19</v>
      </c>
      <c r="E2" s="6">
        <f t="shared" ref="E2:F28" si="0">Y2/$V2</f>
        <v>2.2471910112359552</v>
      </c>
      <c r="F2" s="6">
        <f t="shared" si="0"/>
        <v>1.1235955056179776</v>
      </c>
      <c r="G2" s="6">
        <f t="shared" ref="G2:G28" si="1">X2/$V2</f>
        <v>2.7325842696629219</v>
      </c>
      <c r="H2" s="6">
        <f>original!I2</f>
        <v>12.5</v>
      </c>
      <c r="I2" s="6">
        <f>original!N2</f>
        <v>22</v>
      </c>
      <c r="J2" s="6">
        <v>80.400000000000006</v>
      </c>
      <c r="K2" s="6">
        <v>1</v>
      </c>
      <c r="L2" s="6">
        <v>0</v>
      </c>
      <c r="M2">
        <v>1</v>
      </c>
      <c r="N2">
        <v>-0.48099999999999998</v>
      </c>
      <c r="P2">
        <v>1</v>
      </c>
      <c r="Q2">
        <v>1</v>
      </c>
      <c r="S2" t="s">
        <v>294</v>
      </c>
      <c r="T2" t="s">
        <v>295</v>
      </c>
      <c r="V2" s="6">
        <f>original!B2+original!D2+original!L2</f>
        <v>4.4499999999999993</v>
      </c>
      <c r="W2" s="6">
        <v>0</v>
      </c>
      <c r="X2" s="6">
        <f>original!M2</f>
        <v>12.16</v>
      </c>
      <c r="Y2" s="6">
        <f>original!E2</f>
        <v>10</v>
      </c>
      <c r="Z2" s="6">
        <f>original!H2</f>
        <v>5</v>
      </c>
    </row>
    <row r="3" spans="1:26">
      <c r="A3" t="s">
        <v>225</v>
      </c>
      <c r="B3" s="6" t="s">
        <v>137</v>
      </c>
      <c r="C3" s="6" t="s">
        <v>7</v>
      </c>
      <c r="D3" s="6" t="s">
        <v>19</v>
      </c>
      <c r="E3" s="6">
        <f t="shared" si="0"/>
        <v>2.2471910112359552</v>
      </c>
      <c r="F3" s="6">
        <f t="shared" si="0"/>
        <v>1.1235955056179776</v>
      </c>
      <c r="G3" s="6">
        <f t="shared" si="1"/>
        <v>2.7325842696629219</v>
      </c>
      <c r="H3" s="6">
        <f>original!I3</f>
        <v>12.5</v>
      </c>
      <c r="I3" s="6">
        <f>original!N3</f>
        <v>30</v>
      </c>
      <c r="J3" s="6">
        <v>80.400000000000006</v>
      </c>
      <c r="K3" s="6">
        <v>1</v>
      </c>
      <c r="L3" s="6">
        <v>0</v>
      </c>
      <c r="M3">
        <v>1</v>
      </c>
      <c r="N3">
        <v>-0.48099999999999998</v>
      </c>
      <c r="P3">
        <v>1</v>
      </c>
      <c r="Q3">
        <v>1</v>
      </c>
      <c r="S3" t="s">
        <v>296</v>
      </c>
      <c r="T3" t="s">
        <v>297</v>
      </c>
      <c r="V3" s="6">
        <f>original!B3+original!D3+original!L3</f>
        <v>4.4499999999999993</v>
      </c>
      <c r="W3" s="6">
        <v>0</v>
      </c>
      <c r="X3" s="6">
        <f>original!M3</f>
        <v>12.16</v>
      </c>
      <c r="Y3" s="6">
        <f>original!E3</f>
        <v>10</v>
      </c>
      <c r="Z3" s="6">
        <f>original!H3</f>
        <v>5</v>
      </c>
    </row>
    <row r="4" spans="1:26">
      <c r="A4" t="s">
        <v>225</v>
      </c>
      <c r="B4" s="6" t="s">
        <v>137</v>
      </c>
      <c r="C4" s="6" t="s">
        <v>7</v>
      </c>
      <c r="D4" s="6" t="s">
        <v>19</v>
      </c>
      <c r="E4" s="6">
        <f t="shared" si="0"/>
        <v>2.2471910112359552</v>
      </c>
      <c r="F4" s="6">
        <f t="shared" si="0"/>
        <v>1.1235955056179776</v>
      </c>
      <c r="G4" s="6">
        <f t="shared" si="1"/>
        <v>2.7325842696629219</v>
      </c>
      <c r="H4" s="6">
        <f>original!I4</f>
        <v>12.5</v>
      </c>
      <c r="I4" s="6">
        <f>original!N4</f>
        <v>40</v>
      </c>
      <c r="J4" s="6">
        <v>80.400000000000006</v>
      </c>
      <c r="K4" s="6">
        <v>1</v>
      </c>
      <c r="L4" s="6">
        <v>0</v>
      </c>
      <c r="M4">
        <v>1</v>
      </c>
      <c r="N4">
        <v>-0.48099999999999998</v>
      </c>
      <c r="P4">
        <v>1</v>
      </c>
      <c r="Q4">
        <v>1</v>
      </c>
      <c r="V4" s="6">
        <f>original!B4+original!D4+original!L4</f>
        <v>4.4499999999999993</v>
      </c>
      <c r="W4" s="6">
        <v>0</v>
      </c>
      <c r="X4" s="6">
        <f>original!M4</f>
        <v>12.16</v>
      </c>
      <c r="Y4" s="6">
        <f>original!E4</f>
        <v>10</v>
      </c>
      <c r="Z4" s="6">
        <f>original!H4</f>
        <v>5</v>
      </c>
    </row>
    <row r="5" spans="1:26">
      <c r="A5" t="s">
        <v>225</v>
      </c>
      <c r="B5" s="6" t="s">
        <v>137</v>
      </c>
      <c r="C5" s="6" t="s">
        <v>7</v>
      </c>
      <c r="D5" s="6" t="s">
        <v>19</v>
      </c>
      <c r="E5" s="6">
        <f t="shared" si="0"/>
        <v>2.2471910112359552</v>
      </c>
      <c r="F5" s="6">
        <f t="shared" si="0"/>
        <v>1.1235955056179776</v>
      </c>
      <c r="G5" s="6">
        <f t="shared" si="1"/>
        <v>2.7325842696629219</v>
      </c>
      <c r="H5" s="6">
        <f>original!I5</f>
        <v>12.5</v>
      </c>
      <c r="I5" s="6">
        <f>original!N5</f>
        <v>50</v>
      </c>
      <c r="J5" s="6">
        <v>80.400000000000006</v>
      </c>
      <c r="K5" s="6">
        <v>1</v>
      </c>
      <c r="L5" s="6">
        <v>0</v>
      </c>
      <c r="M5">
        <v>1</v>
      </c>
      <c r="N5">
        <v>-0.48099999999999998</v>
      </c>
      <c r="P5">
        <v>0</v>
      </c>
      <c r="Q5">
        <v>1</v>
      </c>
      <c r="V5" s="6">
        <f>original!B5+original!D5+original!L5</f>
        <v>4.4499999999999993</v>
      </c>
      <c r="W5" s="6">
        <v>0</v>
      </c>
      <c r="X5" s="6">
        <f>original!M5</f>
        <v>12.16</v>
      </c>
      <c r="Y5" s="6">
        <f>original!E5</f>
        <v>10</v>
      </c>
      <c r="Z5" s="6">
        <f>original!H5</f>
        <v>5</v>
      </c>
    </row>
    <row r="6" spans="1:26">
      <c r="A6" t="s">
        <v>225</v>
      </c>
      <c r="B6" s="6" t="s">
        <v>137</v>
      </c>
      <c r="C6" s="6" t="s">
        <v>7</v>
      </c>
      <c r="D6" s="6" t="s">
        <v>19</v>
      </c>
      <c r="E6" s="6">
        <f t="shared" si="0"/>
        <v>2.2471910112359552</v>
      </c>
      <c r="F6" s="6">
        <f t="shared" si="0"/>
        <v>1.1235955056179776</v>
      </c>
      <c r="G6" s="6">
        <f t="shared" si="1"/>
        <v>2.7325842696629219</v>
      </c>
      <c r="H6" s="6">
        <f>original!I6</f>
        <v>12.5</v>
      </c>
      <c r="I6" s="6">
        <f>original!N6</f>
        <v>60</v>
      </c>
      <c r="J6" s="6">
        <v>80.400000000000006</v>
      </c>
      <c r="K6" s="6">
        <v>1</v>
      </c>
      <c r="L6" s="6">
        <v>0</v>
      </c>
      <c r="M6">
        <v>1</v>
      </c>
      <c r="N6">
        <v>-0.48099999999999998</v>
      </c>
      <c r="P6">
        <v>0</v>
      </c>
      <c r="Q6">
        <v>1</v>
      </c>
      <c r="V6" s="6">
        <f>original!B6+original!D6+original!L6</f>
        <v>4.4499999999999993</v>
      </c>
      <c r="W6" s="6">
        <v>0</v>
      </c>
      <c r="X6" s="6">
        <f>original!M6</f>
        <v>12.16</v>
      </c>
      <c r="Y6" s="6">
        <f>original!E6</f>
        <v>10</v>
      </c>
      <c r="Z6" s="6">
        <f>original!H6</f>
        <v>5</v>
      </c>
    </row>
    <row r="7" spans="1:26">
      <c r="A7" t="s">
        <v>225</v>
      </c>
      <c r="B7" s="6" t="s">
        <v>41</v>
      </c>
      <c r="C7" s="6" t="s">
        <v>29</v>
      </c>
      <c r="D7" s="6" t="s">
        <v>19</v>
      </c>
      <c r="E7" s="6">
        <f t="shared" si="0"/>
        <v>2.1026072329688814</v>
      </c>
      <c r="F7" s="6">
        <f t="shared" si="0"/>
        <v>1.0513036164844407</v>
      </c>
      <c r="G7" s="6">
        <f t="shared" si="1"/>
        <v>3.2800672834314551E-2</v>
      </c>
      <c r="H7" s="6">
        <f>original!I7</f>
        <v>11.5</v>
      </c>
      <c r="I7" s="6">
        <f>original!N7</f>
        <v>22</v>
      </c>
      <c r="J7" s="6">
        <v>80.400000000000006</v>
      </c>
      <c r="K7" s="6">
        <v>0</v>
      </c>
      <c r="L7" s="6">
        <v>0</v>
      </c>
      <c r="M7">
        <v>0</v>
      </c>
      <c r="N7">
        <v>-0.48099999999999998</v>
      </c>
      <c r="P7">
        <v>1</v>
      </c>
      <c r="Q7">
        <v>1</v>
      </c>
      <c r="V7" s="6">
        <f>original!B7+original!D7+original!L7</f>
        <v>4.7560000000000002</v>
      </c>
      <c r="W7" s="6">
        <v>0</v>
      </c>
      <c r="X7" s="6">
        <f>original!M7</f>
        <v>0.156</v>
      </c>
      <c r="Y7" s="6">
        <f>original!E7</f>
        <v>10</v>
      </c>
      <c r="Z7" s="6">
        <f>original!H7</f>
        <v>5</v>
      </c>
    </row>
    <row r="8" spans="1:26">
      <c r="A8" t="s">
        <v>225</v>
      </c>
      <c r="B8" s="6" t="s">
        <v>137</v>
      </c>
      <c r="C8" s="6" t="s">
        <v>29</v>
      </c>
      <c r="D8" s="6" t="s">
        <v>19</v>
      </c>
      <c r="E8" s="6">
        <f t="shared" si="0"/>
        <v>2.1276595744680851</v>
      </c>
      <c r="F8" s="6">
        <f t="shared" si="0"/>
        <v>1.0638297872340425</v>
      </c>
      <c r="G8" s="6">
        <f t="shared" si="1"/>
        <v>2.1276595744680851E-2</v>
      </c>
      <c r="H8" s="6">
        <f>original!I8</f>
        <v>11.5</v>
      </c>
      <c r="I8" s="6">
        <f>original!N8</f>
        <v>22</v>
      </c>
      <c r="J8" s="6">
        <v>80.400000000000006</v>
      </c>
      <c r="K8" s="6">
        <v>0</v>
      </c>
      <c r="L8" s="6">
        <v>0</v>
      </c>
      <c r="M8">
        <v>0</v>
      </c>
      <c r="N8">
        <v>-0.48099999999999998</v>
      </c>
      <c r="P8">
        <v>0</v>
      </c>
      <c r="Q8">
        <v>1</v>
      </c>
      <c r="V8" s="6">
        <f>original!B8+original!D8+original!L8</f>
        <v>4.7</v>
      </c>
      <c r="W8" s="6">
        <v>0</v>
      </c>
      <c r="X8" s="6">
        <f>original!M8</f>
        <v>0.1</v>
      </c>
      <c r="Y8" s="6">
        <f>original!E8</f>
        <v>10</v>
      </c>
      <c r="Z8" s="6">
        <f>original!H8</f>
        <v>5</v>
      </c>
    </row>
    <row r="9" spans="1:26">
      <c r="A9" t="s">
        <v>225</v>
      </c>
      <c r="B9" s="6" t="s">
        <v>137</v>
      </c>
      <c r="C9" s="6" t="s">
        <v>29</v>
      </c>
      <c r="D9" s="6" t="s">
        <v>19</v>
      </c>
      <c r="E9" s="6">
        <f t="shared" si="0"/>
        <v>2.083333333333333</v>
      </c>
      <c r="F9" s="6">
        <f t="shared" si="0"/>
        <v>1.0416666666666665</v>
      </c>
      <c r="G9" s="6">
        <f t="shared" si="1"/>
        <v>4.1666666666666664E-2</v>
      </c>
      <c r="H9" s="6">
        <f>original!I9</f>
        <v>11.5</v>
      </c>
      <c r="I9" s="6">
        <f>original!N9</f>
        <v>22</v>
      </c>
      <c r="J9" s="6">
        <v>80.400000000000006</v>
      </c>
      <c r="K9" s="6">
        <v>0</v>
      </c>
      <c r="L9" s="6">
        <v>0</v>
      </c>
      <c r="M9">
        <v>0</v>
      </c>
      <c r="N9">
        <v>-0.48099999999999998</v>
      </c>
      <c r="P9">
        <v>0</v>
      </c>
      <c r="Q9">
        <v>1</v>
      </c>
      <c r="V9" s="6">
        <f>original!B9+original!D9+original!L9</f>
        <v>4.8000000000000007</v>
      </c>
      <c r="W9" s="6">
        <v>0</v>
      </c>
      <c r="X9" s="6">
        <f>original!M9</f>
        <v>0.2</v>
      </c>
      <c r="Y9" s="6">
        <f>original!E9</f>
        <v>10</v>
      </c>
      <c r="Z9" s="6">
        <f>original!H9</f>
        <v>5</v>
      </c>
    </row>
    <row r="10" spans="1:26">
      <c r="A10" t="s">
        <v>225</v>
      </c>
      <c r="B10" s="6" t="s">
        <v>137</v>
      </c>
      <c r="C10" s="6" t="s">
        <v>29</v>
      </c>
      <c r="D10" s="6" t="s">
        <v>19</v>
      </c>
      <c r="E10" s="6">
        <f t="shared" si="0"/>
        <v>2.0703933747412004</v>
      </c>
      <c r="F10" s="6">
        <f t="shared" si="0"/>
        <v>1.0351966873706002</v>
      </c>
      <c r="G10" s="6">
        <f t="shared" si="1"/>
        <v>4.7619047619047609E-2</v>
      </c>
      <c r="H10" s="6">
        <f>original!I10</f>
        <v>11.5</v>
      </c>
      <c r="I10" s="6">
        <f>original!N10</f>
        <v>22</v>
      </c>
      <c r="J10" s="6">
        <v>80.400000000000006</v>
      </c>
      <c r="K10" s="6">
        <v>0</v>
      </c>
      <c r="L10" s="6">
        <v>0</v>
      </c>
      <c r="M10">
        <v>0</v>
      </c>
      <c r="N10">
        <v>-0.48099999999999998</v>
      </c>
      <c r="P10">
        <v>0</v>
      </c>
      <c r="Q10">
        <v>1</v>
      </c>
      <c r="V10" s="6">
        <f>original!B10+original!D10+original!L10</f>
        <v>4.830000000000001</v>
      </c>
      <c r="W10" s="6">
        <v>0</v>
      </c>
      <c r="X10" s="6">
        <f>original!M10</f>
        <v>0.23</v>
      </c>
      <c r="Y10" s="6">
        <f>original!E10</f>
        <v>10</v>
      </c>
      <c r="Z10" s="6">
        <f>original!H10</f>
        <v>5</v>
      </c>
    </row>
    <row r="11" spans="1:26">
      <c r="A11" t="s">
        <v>225</v>
      </c>
      <c r="B11" s="6" t="s">
        <v>137</v>
      </c>
      <c r="C11" s="6" t="s">
        <v>29</v>
      </c>
      <c r="D11" s="6" t="s">
        <v>19</v>
      </c>
      <c r="E11" s="6">
        <f t="shared" si="0"/>
        <v>2.1276595744680851</v>
      </c>
      <c r="F11" s="6">
        <f t="shared" si="0"/>
        <v>1.0638297872340425</v>
      </c>
      <c r="G11" s="6">
        <f t="shared" si="1"/>
        <v>2.1276595744680851</v>
      </c>
      <c r="H11" s="6">
        <f>original!I11</f>
        <v>11.5</v>
      </c>
      <c r="I11" s="6">
        <f>original!N11</f>
        <v>22</v>
      </c>
      <c r="J11" s="6">
        <v>80.400000000000006</v>
      </c>
      <c r="K11" s="6">
        <v>0</v>
      </c>
      <c r="L11" s="6">
        <v>0</v>
      </c>
      <c r="M11">
        <v>0</v>
      </c>
      <c r="N11">
        <v>-0.48099999999999998</v>
      </c>
      <c r="P11">
        <v>0</v>
      </c>
      <c r="Q11">
        <v>1</v>
      </c>
      <c r="V11" s="6">
        <f>original!B11+original!D11+original!L11</f>
        <v>4.7</v>
      </c>
      <c r="W11" s="6">
        <v>0</v>
      </c>
      <c r="X11" s="6">
        <f>original!M11</f>
        <v>10</v>
      </c>
      <c r="Y11" s="6">
        <f>original!E11</f>
        <v>10</v>
      </c>
      <c r="Z11" s="6">
        <f>original!H11</f>
        <v>5</v>
      </c>
    </row>
    <row r="12" spans="1:26">
      <c r="A12" t="s">
        <v>225</v>
      </c>
      <c r="B12" s="6" t="s">
        <v>137</v>
      </c>
      <c r="C12" s="6" t="s">
        <v>29</v>
      </c>
      <c r="D12" s="6" t="s">
        <v>19</v>
      </c>
      <c r="E12" s="6">
        <f t="shared" si="0"/>
        <v>3.0612244897959182</v>
      </c>
      <c r="F12" s="6">
        <f t="shared" si="0"/>
        <v>1.0204081632653061</v>
      </c>
      <c r="G12" s="6">
        <f t="shared" si="1"/>
        <v>4.0816326530612242E-2</v>
      </c>
      <c r="H12" s="6">
        <f>original!I12</f>
        <v>11.5</v>
      </c>
      <c r="I12" s="6">
        <f>original!N12</f>
        <v>22</v>
      </c>
      <c r="J12" s="6">
        <v>80.400000000000006</v>
      </c>
      <c r="K12" s="6">
        <v>0</v>
      </c>
      <c r="L12" s="6">
        <v>0</v>
      </c>
      <c r="M12">
        <v>0</v>
      </c>
      <c r="N12">
        <v>-0.48099999999999998</v>
      </c>
      <c r="P12">
        <v>0</v>
      </c>
      <c r="Q12">
        <v>1</v>
      </c>
      <c r="V12" s="6">
        <f>original!B12+original!D12+original!L12</f>
        <v>4.9000000000000004</v>
      </c>
      <c r="W12" s="6">
        <v>0</v>
      </c>
      <c r="X12" s="6">
        <f>original!M12</f>
        <v>0.2</v>
      </c>
      <c r="Y12" s="6">
        <f>original!E12</f>
        <v>15</v>
      </c>
      <c r="Z12" s="6">
        <f>original!H12</f>
        <v>5</v>
      </c>
    </row>
    <row r="13" spans="1:26">
      <c r="A13" t="s">
        <v>225</v>
      </c>
      <c r="B13" s="6" t="s">
        <v>137</v>
      </c>
      <c r="C13" s="6" t="s">
        <v>29</v>
      </c>
      <c r="D13" s="6" t="s">
        <v>19</v>
      </c>
      <c r="E13" s="6">
        <f t="shared" si="0"/>
        <v>2.5773195876288657</v>
      </c>
      <c r="F13" s="6">
        <f t="shared" si="0"/>
        <v>1.0309278350515463</v>
      </c>
      <c r="G13" s="6">
        <f t="shared" si="1"/>
        <v>4.1237113402061855E-2</v>
      </c>
      <c r="H13" s="6">
        <f>original!I13</f>
        <v>11.5</v>
      </c>
      <c r="I13" s="6">
        <f>original!N13</f>
        <v>22</v>
      </c>
      <c r="J13" s="6">
        <v>80.400000000000006</v>
      </c>
      <c r="K13" s="6">
        <v>0</v>
      </c>
      <c r="L13" s="6">
        <v>0</v>
      </c>
      <c r="M13">
        <v>0</v>
      </c>
      <c r="N13">
        <v>-0.48099999999999998</v>
      </c>
      <c r="P13">
        <v>0</v>
      </c>
      <c r="Q13">
        <v>1</v>
      </c>
      <c r="V13" s="6">
        <f>original!B13+original!D13+original!L13</f>
        <v>4.8500000000000005</v>
      </c>
      <c r="W13" s="6">
        <v>0</v>
      </c>
      <c r="X13" s="6">
        <f>original!M13</f>
        <v>0.2</v>
      </c>
      <c r="Y13" s="6">
        <f>original!E13</f>
        <v>12.5</v>
      </c>
      <c r="Z13" s="6">
        <f>original!H13</f>
        <v>5</v>
      </c>
    </row>
    <row r="14" spans="1:26">
      <c r="A14" t="s">
        <v>225</v>
      </c>
      <c r="B14" s="6" t="s">
        <v>137</v>
      </c>
      <c r="C14" s="6" t="s">
        <v>29</v>
      </c>
      <c r="D14" s="6" t="s">
        <v>19</v>
      </c>
      <c r="E14" s="6">
        <f t="shared" si="0"/>
        <v>1.5789473684210524</v>
      </c>
      <c r="F14" s="6">
        <f t="shared" si="0"/>
        <v>1.0526315789473681</v>
      </c>
      <c r="G14" s="6">
        <f t="shared" si="1"/>
        <v>4.2105263157894729E-2</v>
      </c>
      <c r="H14" s="6">
        <f>original!I14</f>
        <v>11.5</v>
      </c>
      <c r="I14" s="6">
        <f>original!N14</f>
        <v>22</v>
      </c>
      <c r="J14" s="6">
        <v>80.400000000000006</v>
      </c>
      <c r="K14" s="6">
        <v>0</v>
      </c>
      <c r="L14" s="6">
        <v>0</v>
      </c>
      <c r="M14">
        <v>0</v>
      </c>
      <c r="N14">
        <v>-0.48099999999999998</v>
      </c>
      <c r="P14">
        <v>0</v>
      </c>
      <c r="Q14">
        <v>1</v>
      </c>
      <c r="V14" s="6">
        <f>original!B14+original!D14+original!L14</f>
        <v>4.7500000000000009</v>
      </c>
      <c r="W14" s="6">
        <v>0</v>
      </c>
      <c r="X14" s="6">
        <f>original!M14</f>
        <v>0.2</v>
      </c>
      <c r="Y14" s="6">
        <f>original!E14</f>
        <v>7.5</v>
      </c>
      <c r="Z14" s="6">
        <f>original!H14</f>
        <v>5</v>
      </c>
    </row>
    <row r="15" spans="1:26">
      <c r="A15" t="s">
        <v>225</v>
      </c>
      <c r="B15" s="6" t="s">
        <v>137</v>
      </c>
      <c r="C15" s="6" t="s">
        <v>29</v>
      </c>
      <c r="D15" s="6" t="s">
        <v>19</v>
      </c>
      <c r="E15" s="6">
        <f t="shared" si="0"/>
        <v>2.083333333333333</v>
      </c>
      <c r="F15" s="6">
        <f t="shared" si="0"/>
        <v>1.0416666666666665</v>
      </c>
      <c r="G15" s="6">
        <f t="shared" si="1"/>
        <v>4.1666666666666664E-2</v>
      </c>
      <c r="H15" s="6">
        <f>original!I15</f>
        <v>10</v>
      </c>
      <c r="I15" s="6">
        <f>original!N15</f>
        <v>22</v>
      </c>
      <c r="J15" s="6">
        <v>80.400000000000006</v>
      </c>
      <c r="K15" s="6">
        <v>0</v>
      </c>
      <c r="L15" s="6">
        <v>0</v>
      </c>
      <c r="M15">
        <v>0</v>
      </c>
      <c r="N15">
        <v>-0.48099999999999998</v>
      </c>
      <c r="P15">
        <v>0</v>
      </c>
      <c r="Q15">
        <v>1</v>
      </c>
      <c r="V15" s="6">
        <f>original!B15+original!D15+original!L15</f>
        <v>4.8000000000000007</v>
      </c>
      <c r="W15" s="6">
        <v>0</v>
      </c>
      <c r="X15" s="6">
        <f>original!M15</f>
        <v>0.2</v>
      </c>
      <c r="Y15" s="6">
        <f>original!E15</f>
        <v>10</v>
      </c>
      <c r="Z15" s="6">
        <f>original!H15</f>
        <v>5</v>
      </c>
    </row>
    <row r="16" spans="1:26">
      <c r="A16" t="s">
        <v>225</v>
      </c>
      <c r="B16" s="6" t="s">
        <v>137</v>
      </c>
      <c r="C16" s="6" t="s">
        <v>29</v>
      </c>
      <c r="D16" s="6" t="s">
        <v>19</v>
      </c>
      <c r="E16" s="6">
        <f t="shared" si="0"/>
        <v>2.083333333333333</v>
      </c>
      <c r="F16" s="6">
        <f t="shared" si="0"/>
        <v>1.0416666666666665</v>
      </c>
      <c r="G16" s="6">
        <f t="shared" si="1"/>
        <v>4.1666666666666664E-2</v>
      </c>
      <c r="H16" s="6">
        <f>original!I16</f>
        <v>11</v>
      </c>
      <c r="I16" s="6">
        <f>original!N16</f>
        <v>22</v>
      </c>
      <c r="J16" s="6">
        <v>80.400000000000006</v>
      </c>
      <c r="K16" s="6">
        <v>0</v>
      </c>
      <c r="L16" s="6">
        <v>0</v>
      </c>
      <c r="M16">
        <v>0</v>
      </c>
      <c r="N16">
        <v>-0.48099999999999998</v>
      </c>
      <c r="P16">
        <v>0</v>
      </c>
      <c r="Q16">
        <v>1</v>
      </c>
      <c r="V16" s="6">
        <f>original!B16+original!D16+original!L16</f>
        <v>4.8000000000000007</v>
      </c>
      <c r="W16" s="6">
        <v>0</v>
      </c>
      <c r="X16" s="6">
        <f>original!M16</f>
        <v>0.2</v>
      </c>
      <c r="Y16" s="6">
        <f>original!E16</f>
        <v>10</v>
      </c>
      <c r="Z16" s="6">
        <f>original!H16</f>
        <v>5</v>
      </c>
    </row>
    <row r="17" spans="1:26">
      <c r="A17" t="s">
        <v>225</v>
      </c>
      <c r="B17" s="6" t="s">
        <v>137</v>
      </c>
      <c r="C17" s="6" t="s">
        <v>29</v>
      </c>
      <c r="D17" s="6" t="s">
        <v>19</v>
      </c>
      <c r="E17" s="6">
        <f t="shared" si="0"/>
        <v>2.083333333333333</v>
      </c>
      <c r="F17" s="6">
        <f t="shared" si="0"/>
        <v>1.0416666666666665</v>
      </c>
      <c r="G17" s="6">
        <f t="shared" si="1"/>
        <v>4.1666666666666664E-2</v>
      </c>
      <c r="H17" s="6">
        <f>original!I17</f>
        <v>12</v>
      </c>
      <c r="I17" s="6">
        <f>original!N17</f>
        <v>22</v>
      </c>
      <c r="J17" s="6">
        <v>80.400000000000006</v>
      </c>
      <c r="K17" s="6">
        <v>0</v>
      </c>
      <c r="L17" s="6">
        <v>0</v>
      </c>
      <c r="M17">
        <v>0</v>
      </c>
      <c r="N17">
        <v>-0.48099999999999998</v>
      </c>
      <c r="P17">
        <v>0</v>
      </c>
      <c r="Q17">
        <v>1</v>
      </c>
      <c r="V17" s="6">
        <f>original!B17+original!D17+original!L17</f>
        <v>4.8000000000000007</v>
      </c>
      <c r="W17" s="6">
        <v>0</v>
      </c>
      <c r="X17" s="6">
        <f>original!M17</f>
        <v>0.2</v>
      </c>
      <c r="Y17" s="6">
        <f>original!E17</f>
        <v>10</v>
      </c>
      <c r="Z17" s="6">
        <f>original!H17</f>
        <v>5</v>
      </c>
    </row>
    <row r="18" spans="1:26">
      <c r="A18" t="s">
        <v>225</v>
      </c>
      <c r="B18" s="6" t="s">
        <v>137</v>
      </c>
      <c r="C18" s="6" t="s">
        <v>29</v>
      </c>
      <c r="D18" s="6" t="s">
        <v>19</v>
      </c>
      <c r="E18" s="6">
        <f t="shared" si="0"/>
        <v>2.083333333333333</v>
      </c>
      <c r="F18" s="6">
        <f t="shared" si="0"/>
        <v>1.0416666666666665</v>
      </c>
      <c r="G18" s="6">
        <f t="shared" si="1"/>
        <v>4.1666666666666664E-2</v>
      </c>
      <c r="H18" s="6">
        <f>original!I18</f>
        <v>12.5</v>
      </c>
      <c r="I18" s="6">
        <f>original!N18</f>
        <v>22</v>
      </c>
      <c r="J18" s="6">
        <v>80.400000000000006</v>
      </c>
      <c r="K18" s="6">
        <v>0</v>
      </c>
      <c r="L18" s="6">
        <v>0</v>
      </c>
      <c r="M18">
        <v>0</v>
      </c>
      <c r="N18">
        <v>-0.48099999999999998</v>
      </c>
      <c r="P18">
        <v>0</v>
      </c>
      <c r="Q18">
        <v>1</v>
      </c>
      <c r="V18" s="6">
        <f>original!B18+original!D18+original!L18</f>
        <v>4.8000000000000007</v>
      </c>
      <c r="W18" s="6">
        <v>0</v>
      </c>
      <c r="X18" s="6">
        <f>original!M18</f>
        <v>0.2</v>
      </c>
      <c r="Y18" s="6">
        <f>original!E18</f>
        <v>10</v>
      </c>
      <c r="Z18" s="6">
        <f>original!H18</f>
        <v>5</v>
      </c>
    </row>
    <row r="19" spans="1:26">
      <c r="A19" t="s">
        <v>225</v>
      </c>
      <c r="B19" s="6" t="s">
        <v>137</v>
      </c>
      <c r="C19" s="6" t="s">
        <v>29</v>
      </c>
      <c r="D19" s="6" t="s">
        <v>19</v>
      </c>
      <c r="E19" s="6">
        <f t="shared" si="0"/>
        <v>2.083333333333333</v>
      </c>
      <c r="F19" s="6">
        <f t="shared" si="0"/>
        <v>1.0416666666666665</v>
      </c>
      <c r="G19" s="6">
        <f t="shared" si="1"/>
        <v>4.1666666666666664E-2</v>
      </c>
      <c r="H19" s="6">
        <f>original!I19</f>
        <v>12.8</v>
      </c>
      <c r="I19" s="6">
        <f>original!N19</f>
        <v>22</v>
      </c>
      <c r="J19" s="6">
        <v>80.400000000000006</v>
      </c>
      <c r="K19" s="6">
        <v>0</v>
      </c>
      <c r="L19" s="6">
        <v>0</v>
      </c>
      <c r="M19">
        <v>0</v>
      </c>
      <c r="N19">
        <v>-0.48099999999999998</v>
      </c>
      <c r="P19">
        <v>0</v>
      </c>
      <c r="Q19">
        <v>1</v>
      </c>
      <c r="V19" s="6">
        <f>original!B19+original!D19+original!L19</f>
        <v>4.8000000000000007</v>
      </c>
      <c r="W19" s="6">
        <v>0</v>
      </c>
      <c r="X19" s="6">
        <f>original!M19</f>
        <v>0.2</v>
      </c>
      <c r="Y19" s="6">
        <f>original!E19</f>
        <v>10</v>
      </c>
      <c r="Z19" s="6">
        <f>original!H19</f>
        <v>5</v>
      </c>
    </row>
    <row r="20" spans="1:26">
      <c r="A20" t="s">
        <v>225</v>
      </c>
      <c r="B20" s="6" t="s">
        <v>137</v>
      </c>
      <c r="C20" s="6" t="s">
        <v>28</v>
      </c>
      <c r="D20" s="6" t="s">
        <v>19</v>
      </c>
      <c r="E20" s="6">
        <f t="shared" si="0"/>
        <v>2.083333333333333</v>
      </c>
      <c r="F20" s="6">
        <f t="shared" si="0"/>
        <v>1.0416666666666665</v>
      </c>
      <c r="G20" s="6">
        <f t="shared" si="1"/>
        <v>4.1666666666666664E-2</v>
      </c>
      <c r="H20" s="6">
        <f>original!I20</f>
        <v>11.5</v>
      </c>
      <c r="I20" s="6">
        <f>original!N20</f>
        <v>22</v>
      </c>
      <c r="J20" s="6">
        <v>80.400000000000006</v>
      </c>
      <c r="K20" s="6">
        <v>0</v>
      </c>
      <c r="L20" s="6">
        <v>0</v>
      </c>
      <c r="M20">
        <v>0</v>
      </c>
      <c r="N20">
        <v>-0.48099999999999998</v>
      </c>
      <c r="P20">
        <v>1</v>
      </c>
      <c r="Q20">
        <v>1</v>
      </c>
      <c r="V20" s="6">
        <f>original!B20+original!D20+original!L20</f>
        <v>4.8000000000000007</v>
      </c>
      <c r="W20" s="6">
        <v>0</v>
      </c>
      <c r="X20" s="6">
        <f>original!M20</f>
        <v>0.2</v>
      </c>
      <c r="Y20" s="6">
        <f>original!E20</f>
        <v>10</v>
      </c>
      <c r="Z20" s="6">
        <f>original!H20</f>
        <v>5</v>
      </c>
    </row>
    <row r="21" spans="1:26">
      <c r="A21" t="s">
        <v>225</v>
      </c>
      <c r="B21" s="6" t="s">
        <v>137</v>
      </c>
      <c r="C21" s="6" t="s">
        <v>28</v>
      </c>
      <c r="D21" s="6" t="s">
        <v>19</v>
      </c>
      <c r="E21" s="6">
        <f t="shared" si="0"/>
        <v>3.0612244897959182</v>
      </c>
      <c r="F21" s="6">
        <f t="shared" si="0"/>
        <v>1.0204081632653061</v>
      </c>
      <c r="G21" s="6">
        <f t="shared" si="1"/>
        <v>4.0816326530612242E-2</v>
      </c>
      <c r="H21" s="6">
        <f>original!I21</f>
        <v>11.5</v>
      </c>
      <c r="I21" s="6">
        <f>original!N21</f>
        <v>22</v>
      </c>
      <c r="J21" s="6">
        <v>80.400000000000006</v>
      </c>
      <c r="K21" s="6">
        <v>0</v>
      </c>
      <c r="L21" s="6">
        <v>0</v>
      </c>
      <c r="M21">
        <v>0</v>
      </c>
      <c r="N21">
        <v>-0.48099999999999998</v>
      </c>
      <c r="P21">
        <v>0</v>
      </c>
      <c r="Q21">
        <v>1</v>
      </c>
      <c r="V21" s="6">
        <f>original!B21+original!D21+original!L21</f>
        <v>4.9000000000000004</v>
      </c>
      <c r="W21" s="6">
        <v>0</v>
      </c>
      <c r="X21" s="6">
        <f>original!M21</f>
        <v>0.2</v>
      </c>
      <c r="Y21" s="6">
        <f>original!E21</f>
        <v>15</v>
      </c>
      <c r="Z21" s="6">
        <f>original!H21</f>
        <v>5</v>
      </c>
    </row>
    <row r="22" spans="1:26">
      <c r="A22" t="s">
        <v>225</v>
      </c>
      <c r="B22" s="6" t="s">
        <v>137</v>
      </c>
      <c r="C22" s="6" t="s">
        <v>28</v>
      </c>
      <c r="D22" s="6" t="s">
        <v>19</v>
      </c>
      <c r="E22" s="6">
        <f t="shared" si="0"/>
        <v>2.5773195876288657</v>
      </c>
      <c r="F22" s="6">
        <f t="shared" si="0"/>
        <v>1.0309278350515463</v>
      </c>
      <c r="G22" s="6">
        <f t="shared" si="1"/>
        <v>4.1237113402061855E-2</v>
      </c>
      <c r="H22" s="6">
        <f>original!I22</f>
        <v>11.5</v>
      </c>
      <c r="I22" s="6">
        <f>original!N22</f>
        <v>22</v>
      </c>
      <c r="J22" s="6">
        <v>80.400000000000006</v>
      </c>
      <c r="K22" s="6">
        <v>0</v>
      </c>
      <c r="L22" s="6">
        <v>0</v>
      </c>
      <c r="M22">
        <v>0</v>
      </c>
      <c r="N22">
        <v>-0.48099999999999998</v>
      </c>
      <c r="P22">
        <v>0</v>
      </c>
      <c r="Q22">
        <v>1</v>
      </c>
      <c r="V22" s="6">
        <f>original!B22+original!D22+original!L22</f>
        <v>4.8500000000000005</v>
      </c>
      <c r="W22" s="6">
        <v>0</v>
      </c>
      <c r="X22" s="6">
        <f>original!M22</f>
        <v>0.2</v>
      </c>
      <c r="Y22" s="6">
        <f>original!E22</f>
        <v>12.5</v>
      </c>
      <c r="Z22" s="6">
        <f>original!H22</f>
        <v>5</v>
      </c>
    </row>
    <row r="23" spans="1:26">
      <c r="A23" t="s">
        <v>225</v>
      </c>
      <c r="B23" s="6" t="s">
        <v>137</v>
      </c>
      <c r="C23" s="6" t="s">
        <v>28</v>
      </c>
      <c r="D23" s="6" t="s">
        <v>19</v>
      </c>
      <c r="E23" s="6">
        <f t="shared" si="0"/>
        <v>1.5789473684210524</v>
      </c>
      <c r="F23" s="6">
        <f t="shared" si="0"/>
        <v>1.0526315789473681</v>
      </c>
      <c r="G23" s="6">
        <f t="shared" si="1"/>
        <v>4.2105263157894729E-2</v>
      </c>
      <c r="H23" s="6">
        <f>original!I23</f>
        <v>11.5</v>
      </c>
      <c r="I23" s="6">
        <f>original!N23</f>
        <v>22</v>
      </c>
      <c r="J23" s="6">
        <v>80.400000000000006</v>
      </c>
      <c r="K23" s="6">
        <v>0</v>
      </c>
      <c r="L23" s="6">
        <v>0</v>
      </c>
      <c r="M23">
        <v>0</v>
      </c>
      <c r="N23">
        <v>-0.48099999999999998</v>
      </c>
      <c r="P23">
        <v>0</v>
      </c>
      <c r="Q23">
        <v>1</v>
      </c>
      <c r="V23" s="6">
        <f>original!B23+original!D23+original!L23</f>
        <v>4.7500000000000009</v>
      </c>
      <c r="W23" s="6">
        <v>0</v>
      </c>
      <c r="X23" s="6">
        <f>original!M23</f>
        <v>0.2</v>
      </c>
      <c r="Y23" s="6">
        <f>original!E23</f>
        <v>7.5</v>
      </c>
      <c r="Z23" s="6">
        <f>original!H23</f>
        <v>5</v>
      </c>
    </row>
    <row r="24" spans="1:26">
      <c r="A24" t="s">
        <v>225</v>
      </c>
      <c r="B24" s="6" t="s">
        <v>137</v>
      </c>
      <c r="C24" s="6" t="s">
        <v>28</v>
      </c>
      <c r="D24" s="6" t="s">
        <v>19</v>
      </c>
      <c r="E24" s="6">
        <f t="shared" si="0"/>
        <v>2.083333333333333</v>
      </c>
      <c r="F24" s="6">
        <f t="shared" si="0"/>
        <v>1.0416666666666665</v>
      </c>
      <c r="G24" s="6">
        <f t="shared" si="1"/>
        <v>4.1666666666666664E-2</v>
      </c>
      <c r="H24" s="6">
        <f>original!I24</f>
        <v>10</v>
      </c>
      <c r="I24" s="6">
        <f>original!N24</f>
        <v>22</v>
      </c>
      <c r="J24" s="6">
        <v>80.400000000000006</v>
      </c>
      <c r="K24" s="6">
        <v>0</v>
      </c>
      <c r="L24" s="6">
        <v>0</v>
      </c>
      <c r="M24">
        <v>0</v>
      </c>
      <c r="N24">
        <v>-0.48099999999999998</v>
      </c>
      <c r="P24">
        <v>0</v>
      </c>
      <c r="Q24">
        <v>1</v>
      </c>
      <c r="V24" s="6">
        <f>original!B24+original!D24+original!L24</f>
        <v>4.8000000000000007</v>
      </c>
      <c r="W24" s="6">
        <v>0</v>
      </c>
      <c r="X24" s="6">
        <f>original!M24</f>
        <v>0.2</v>
      </c>
      <c r="Y24" s="6">
        <f>original!E24</f>
        <v>10</v>
      </c>
      <c r="Z24" s="6">
        <f>original!H24</f>
        <v>5</v>
      </c>
    </row>
    <row r="25" spans="1:26">
      <c r="A25" t="s">
        <v>225</v>
      </c>
      <c r="B25" s="6" t="s">
        <v>137</v>
      </c>
      <c r="C25" s="6" t="s">
        <v>28</v>
      </c>
      <c r="D25" s="6" t="s">
        <v>19</v>
      </c>
      <c r="E25" s="6">
        <f t="shared" si="0"/>
        <v>2.083333333333333</v>
      </c>
      <c r="F25" s="6">
        <f t="shared" si="0"/>
        <v>1.0416666666666665</v>
      </c>
      <c r="G25" s="6">
        <f t="shared" si="1"/>
        <v>4.1666666666666664E-2</v>
      </c>
      <c r="H25" s="6">
        <f>original!I25</f>
        <v>11</v>
      </c>
      <c r="I25" s="6">
        <f>original!N25</f>
        <v>22</v>
      </c>
      <c r="J25" s="6">
        <v>80.400000000000006</v>
      </c>
      <c r="K25" s="6">
        <v>0</v>
      </c>
      <c r="L25" s="6">
        <v>0</v>
      </c>
      <c r="M25">
        <v>0</v>
      </c>
      <c r="N25">
        <v>-0.48099999999999998</v>
      </c>
      <c r="P25">
        <v>0</v>
      </c>
      <c r="Q25">
        <v>1</v>
      </c>
      <c r="V25" s="6">
        <f>original!B25+original!D25+original!L25</f>
        <v>4.8000000000000007</v>
      </c>
      <c r="W25" s="6">
        <v>0</v>
      </c>
      <c r="X25" s="6">
        <f>original!M25</f>
        <v>0.2</v>
      </c>
      <c r="Y25" s="6">
        <f>original!E25</f>
        <v>10</v>
      </c>
      <c r="Z25" s="6">
        <f>original!H25</f>
        <v>5</v>
      </c>
    </row>
    <row r="26" spans="1:26">
      <c r="A26" t="s">
        <v>225</v>
      </c>
      <c r="B26" s="6" t="s">
        <v>137</v>
      </c>
      <c r="C26" s="6" t="s">
        <v>28</v>
      </c>
      <c r="D26" s="6" t="s">
        <v>19</v>
      </c>
      <c r="E26" s="6">
        <f t="shared" si="0"/>
        <v>2.083333333333333</v>
      </c>
      <c r="F26" s="6">
        <f t="shared" si="0"/>
        <v>1.0416666666666665</v>
      </c>
      <c r="G26" s="6">
        <f t="shared" si="1"/>
        <v>4.1666666666666664E-2</v>
      </c>
      <c r="H26" s="6">
        <f>original!I26</f>
        <v>12</v>
      </c>
      <c r="I26" s="6">
        <f>original!N26</f>
        <v>22</v>
      </c>
      <c r="J26" s="6">
        <v>80.400000000000006</v>
      </c>
      <c r="K26" s="6">
        <v>0</v>
      </c>
      <c r="L26" s="6">
        <v>0</v>
      </c>
      <c r="M26">
        <v>0</v>
      </c>
      <c r="N26">
        <v>-0.48099999999999998</v>
      </c>
      <c r="P26">
        <v>0</v>
      </c>
      <c r="Q26">
        <v>1</v>
      </c>
      <c r="V26" s="6">
        <f>original!B26+original!D26+original!L26</f>
        <v>4.8000000000000007</v>
      </c>
      <c r="W26" s="6">
        <v>0</v>
      </c>
      <c r="X26" s="6">
        <f>original!M26</f>
        <v>0.2</v>
      </c>
      <c r="Y26" s="6">
        <f>original!E26</f>
        <v>10</v>
      </c>
      <c r="Z26" s="6">
        <f>original!H26</f>
        <v>5</v>
      </c>
    </row>
    <row r="27" spans="1:26">
      <c r="A27" t="s">
        <v>225</v>
      </c>
      <c r="B27" s="6" t="s">
        <v>137</v>
      </c>
      <c r="C27" s="6" t="s">
        <v>28</v>
      </c>
      <c r="D27" s="6" t="s">
        <v>19</v>
      </c>
      <c r="E27" s="6">
        <f t="shared" si="0"/>
        <v>2.083333333333333</v>
      </c>
      <c r="F27" s="6">
        <f t="shared" si="0"/>
        <v>1.0416666666666665</v>
      </c>
      <c r="G27" s="6">
        <f t="shared" si="1"/>
        <v>4.1666666666666664E-2</v>
      </c>
      <c r="H27" s="6">
        <f>original!I27</f>
        <v>12.5</v>
      </c>
      <c r="I27" s="6">
        <f>original!N27</f>
        <v>22</v>
      </c>
      <c r="J27" s="6">
        <v>80.400000000000006</v>
      </c>
      <c r="K27" s="6">
        <v>0</v>
      </c>
      <c r="L27" s="6">
        <v>0</v>
      </c>
      <c r="M27">
        <v>0</v>
      </c>
      <c r="N27">
        <v>-0.48099999999999998</v>
      </c>
      <c r="P27">
        <v>0</v>
      </c>
      <c r="Q27">
        <v>1</v>
      </c>
      <c r="V27" s="6">
        <f>original!B27+original!D27+original!L27</f>
        <v>4.8000000000000007</v>
      </c>
      <c r="W27" s="6">
        <v>0</v>
      </c>
      <c r="X27" s="6">
        <f>original!M27</f>
        <v>0.2</v>
      </c>
      <c r="Y27" s="6">
        <f>original!E27</f>
        <v>10</v>
      </c>
      <c r="Z27" s="6">
        <f>original!H27</f>
        <v>5</v>
      </c>
    </row>
    <row r="28" spans="1:26" ht="17.25" customHeight="1">
      <c r="A28" t="s">
        <v>225</v>
      </c>
      <c r="B28" s="6" t="s">
        <v>137</v>
      </c>
      <c r="C28" s="6" t="s">
        <v>28</v>
      </c>
      <c r="D28" s="6" t="s">
        <v>19</v>
      </c>
      <c r="E28" s="6">
        <f t="shared" si="0"/>
        <v>2.083333333333333</v>
      </c>
      <c r="F28" s="6">
        <f t="shared" si="0"/>
        <v>1.0416666666666665</v>
      </c>
      <c r="G28" s="6">
        <f t="shared" si="1"/>
        <v>4.1666666666666664E-2</v>
      </c>
      <c r="H28" s="6">
        <f>original!I28</f>
        <v>12.8</v>
      </c>
      <c r="I28" s="6">
        <f>original!N28</f>
        <v>22</v>
      </c>
      <c r="J28" s="6">
        <v>80.400000000000006</v>
      </c>
      <c r="K28" s="6">
        <v>0</v>
      </c>
      <c r="L28" s="6">
        <v>0</v>
      </c>
      <c r="M28">
        <v>0</v>
      </c>
      <c r="N28">
        <v>-0.48099999999999998</v>
      </c>
      <c r="P28">
        <v>0</v>
      </c>
      <c r="Q28">
        <v>1</v>
      </c>
      <c r="V28" s="6">
        <f>original!B28+original!D28+original!L28</f>
        <v>4.8000000000000007</v>
      </c>
      <c r="W28" s="6">
        <v>0</v>
      </c>
      <c r="X28" s="6">
        <f>original!M28</f>
        <v>0.2</v>
      </c>
      <c r="Y28" s="6">
        <f>original!E28</f>
        <v>10</v>
      </c>
      <c r="Z28" s="6">
        <f>original!H28</f>
        <v>5</v>
      </c>
    </row>
    <row r="29" spans="1:26" ht="13.5" customHeight="1">
      <c r="A29" s="16" t="s">
        <v>77</v>
      </c>
      <c r="B29" s="17" t="s">
        <v>42</v>
      </c>
      <c r="C29" s="18" t="s">
        <v>270</v>
      </c>
      <c r="D29" s="6" t="s">
        <v>19</v>
      </c>
      <c r="E29" s="6">
        <f>Y29/W29</f>
        <v>30</v>
      </c>
      <c r="F29" s="6">
        <f>Z29/W29</f>
        <v>30</v>
      </c>
      <c r="G29" s="6">
        <f>X29/V29</f>
        <v>400</v>
      </c>
      <c r="H29" s="14">
        <v>7</v>
      </c>
      <c r="I29" s="6">
        <v>0</v>
      </c>
      <c r="J29" s="6">
        <v>2.4</v>
      </c>
      <c r="K29" s="6">
        <v>1</v>
      </c>
      <c r="L29">
        <v>1</v>
      </c>
      <c r="M29">
        <v>1</v>
      </c>
      <c r="N29">
        <v>-0.48099999999999998</v>
      </c>
      <c r="P29">
        <v>1</v>
      </c>
      <c r="Q29">
        <v>1</v>
      </c>
      <c r="V29" s="6">
        <v>50</v>
      </c>
      <c r="W29" s="6">
        <v>30</v>
      </c>
      <c r="X29" s="6">
        <v>20000</v>
      </c>
      <c r="Y29" s="6">
        <v>900</v>
      </c>
      <c r="Z29" s="6">
        <v>900</v>
      </c>
    </row>
    <row r="30" spans="1:26">
      <c r="A30" s="16" t="s">
        <v>87</v>
      </c>
      <c r="B30" s="17" t="s">
        <v>43</v>
      </c>
      <c r="C30" s="18" t="s">
        <v>270</v>
      </c>
      <c r="D30" s="6" t="s">
        <v>19</v>
      </c>
      <c r="E30" s="6">
        <f>Y30/W30</f>
        <v>150.83251714005877</v>
      </c>
      <c r="F30" s="6">
        <f>Z30/W30</f>
        <v>25.07345739471107</v>
      </c>
      <c r="G30" s="6">
        <f>X30/(V30+W30)</f>
        <v>209.66420966420966</v>
      </c>
      <c r="H30" s="14">
        <v>7</v>
      </c>
      <c r="I30" s="6">
        <v>25</v>
      </c>
      <c r="J30" s="6">
        <v>7.4</v>
      </c>
      <c r="K30" s="6">
        <v>1</v>
      </c>
      <c r="L30">
        <v>1</v>
      </c>
      <c r="M30">
        <v>1</v>
      </c>
      <c r="N30">
        <v>-0.48099999999999998</v>
      </c>
      <c r="P30">
        <v>1</v>
      </c>
      <c r="Q30">
        <v>1</v>
      </c>
      <c r="V30" s="6">
        <v>20</v>
      </c>
      <c r="W30" s="6">
        <v>102.1</v>
      </c>
      <c r="X30" s="6">
        <v>25600</v>
      </c>
      <c r="Y30" s="6">
        <v>15400</v>
      </c>
      <c r="Z30" s="6">
        <v>2560</v>
      </c>
    </row>
    <row r="31" spans="1:26">
      <c r="A31" t="s">
        <v>94</v>
      </c>
      <c r="B31" s="6" t="s">
        <v>44</v>
      </c>
      <c r="C31" s="6" t="s">
        <v>257</v>
      </c>
      <c r="D31" s="6" t="s">
        <v>19</v>
      </c>
      <c r="E31" s="6">
        <f>Y31/W31</f>
        <v>200</v>
      </c>
      <c r="F31" s="6">
        <f>Z31/W31</f>
        <v>40</v>
      </c>
      <c r="G31" s="6">
        <f>X31/V31</f>
        <v>133.33333333333334</v>
      </c>
      <c r="H31" s="14">
        <v>7</v>
      </c>
      <c r="I31" s="13">
        <v>25</v>
      </c>
      <c r="J31" s="13">
        <v>32.6</v>
      </c>
      <c r="K31" s="6">
        <v>1</v>
      </c>
      <c r="L31" s="6">
        <v>0</v>
      </c>
      <c r="M31">
        <v>1</v>
      </c>
      <c r="N31">
        <v>-0.48099999999999998</v>
      </c>
      <c r="P31">
        <v>0</v>
      </c>
      <c r="Q31">
        <v>1</v>
      </c>
      <c r="V31" s="6">
        <v>15</v>
      </c>
      <c r="W31" s="6">
        <v>5</v>
      </c>
      <c r="X31" s="6">
        <v>2000</v>
      </c>
      <c r="Y31" s="6">
        <v>1000</v>
      </c>
      <c r="Z31" s="6">
        <v>200</v>
      </c>
    </row>
    <row r="32" spans="1:26">
      <c r="A32" s="16" t="s">
        <v>100</v>
      </c>
      <c r="B32" s="17" t="s">
        <v>44</v>
      </c>
      <c r="C32" s="17" t="s">
        <v>29</v>
      </c>
      <c r="D32" s="6" t="s">
        <v>19</v>
      </c>
      <c r="E32" s="6">
        <v>3</v>
      </c>
      <c r="F32" s="6">
        <v>9</v>
      </c>
      <c r="G32" s="6">
        <v>4.5</v>
      </c>
      <c r="H32" s="14">
        <v>7</v>
      </c>
      <c r="I32" s="6">
        <v>4</v>
      </c>
      <c r="J32" s="6">
        <v>32.6</v>
      </c>
      <c r="K32" s="6">
        <v>0</v>
      </c>
      <c r="L32" s="6">
        <v>0</v>
      </c>
      <c r="M32">
        <v>0</v>
      </c>
      <c r="N32">
        <v>-0.48099999999999998</v>
      </c>
      <c r="P32">
        <v>0</v>
      </c>
      <c r="Q32">
        <v>1</v>
      </c>
      <c r="V32" s="6"/>
      <c r="W32" s="6"/>
      <c r="X32" s="6"/>
      <c r="Y32" s="6"/>
      <c r="Z32" s="6"/>
    </row>
    <row r="33" spans="1:26">
      <c r="A33" s="16" t="s">
        <v>107</v>
      </c>
      <c r="B33" s="17" t="s">
        <v>45</v>
      </c>
      <c r="C33" s="17" t="s">
        <v>29</v>
      </c>
      <c r="D33" s="6" t="s">
        <v>48</v>
      </c>
      <c r="E33" s="6">
        <f>Y33/$V33</f>
        <v>2</v>
      </c>
      <c r="F33" s="6">
        <f>Z33/$V33</f>
        <v>1</v>
      </c>
      <c r="G33" s="6">
        <v>0</v>
      </c>
      <c r="H33" s="6">
        <v>11</v>
      </c>
      <c r="I33" s="6">
        <v>25</v>
      </c>
      <c r="J33" s="6">
        <v>31.6</v>
      </c>
      <c r="K33" s="6">
        <v>0</v>
      </c>
      <c r="L33" s="6">
        <v>0</v>
      </c>
      <c r="M33">
        <v>0</v>
      </c>
      <c r="N33">
        <v>-0.52</v>
      </c>
      <c r="P33">
        <v>0</v>
      </c>
      <c r="Q33">
        <v>1</v>
      </c>
      <c r="V33" s="6">
        <v>10</v>
      </c>
      <c r="W33" s="6">
        <v>0</v>
      </c>
      <c r="X33" s="6">
        <v>0</v>
      </c>
      <c r="Y33" s="6">
        <v>20</v>
      </c>
      <c r="Z33" s="6">
        <v>10</v>
      </c>
    </row>
    <row r="34" spans="1:26">
      <c r="A34" t="s">
        <v>114</v>
      </c>
      <c r="B34" s="6" t="s">
        <v>42</v>
      </c>
      <c r="C34" s="6" t="s">
        <v>62</v>
      </c>
      <c r="D34" s="6" t="s">
        <v>19</v>
      </c>
      <c r="E34" s="6">
        <f>Y34/W34</f>
        <v>85.75</v>
      </c>
      <c r="F34" s="6">
        <f>Z34/W34</f>
        <v>31.75</v>
      </c>
      <c r="G34" s="6">
        <f>X34/V34</f>
        <v>85.875</v>
      </c>
      <c r="H34" s="14">
        <v>7</v>
      </c>
      <c r="I34" s="6">
        <v>25</v>
      </c>
      <c r="J34" s="6">
        <v>2.4</v>
      </c>
      <c r="K34" s="6">
        <v>1</v>
      </c>
      <c r="L34">
        <v>1</v>
      </c>
      <c r="M34">
        <v>0</v>
      </c>
      <c r="N34">
        <v>-0.48099999999999998</v>
      </c>
      <c r="P34">
        <v>1</v>
      </c>
      <c r="Q34">
        <v>1</v>
      </c>
      <c r="V34" s="15">
        <v>8</v>
      </c>
      <c r="W34" s="15">
        <v>8</v>
      </c>
      <c r="X34" s="6">
        <v>687</v>
      </c>
      <c r="Y34" s="6">
        <v>686</v>
      </c>
      <c r="Z34" s="6">
        <v>254</v>
      </c>
    </row>
    <row r="35" spans="1:26">
      <c r="A35" t="s">
        <v>127</v>
      </c>
      <c r="B35" s="6" t="s">
        <v>42</v>
      </c>
      <c r="C35" s="6" t="s">
        <v>130</v>
      </c>
      <c r="D35" s="6" t="s">
        <v>132</v>
      </c>
      <c r="E35" s="6">
        <f>Y35/W35</f>
        <v>800</v>
      </c>
      <c r="F35" s="6">
        <f>Z35/W35</f>
        <v>200</v>
      </c>
      <c r="G35" s="6">
        <f>X35/V35</f>
        <v>1000</v>
      </c>
      <c r="H35" s="14">
        <v>7</v>
      </c>
      <c r="I35" s="6">
        <v>25</v>
      </c>
      <c r="J35" s="6">
        <v>2.4</v>
      </c>
      <c r="K35" s="6">
        <v>1</v>
      </c>
      <c r="L35">
        <v>1</v>
      </c>
      <c r="M35">
        <v>0</v>
      </c>
      <c r="N35">
        <v>-0.48099999999999998</v>
      </c>
      <c r="P35">
        <v>1</v>
      </c>
      <c r="Q35">
        <v>1</v>
      </c>
      <c r="V35" s="6">
        <v>10</v>
      </c>
      <c r="W35" s="6">
        <v>5</v>
      </c>
      <c r="X35" s="6">
        <v>10000</v>
      </c>
      <c r="Y35" s="6">
        <v>4000</v>
      </c>
      <c r="Z35" s="6">
        <v>1000</v>
      </c>
    </row>
    <row r="36" spans="1:26">
      <c r="A36" t="s">
        <v>136</v>
      </c>
      <c r="B36" s="6" t="s">
        <v>137</v>
      </c>
      <c r="C36" s="6" t="s">
        <v>139</v>
      </c>
      <c r="D36" s="7" t="s">
        <v>19</v>
      </c>
      <c r="E36" s="6">
        <f t="shared" ref="E36:F38" si="2">Y36/$V36</f>
        <v>2</v>
      </c>
      <c r="F36" s="6">
        <f t="shared" si="2"/>
        <v>1</v>
      </c>
      <c r="G36" s="6">
        <f>X36/$V36</f>
        <v>2</v>
      </c>
      <c r="H36" s="13">
        <v>10</v>
      </c>
      <c r="I36" s="6">
        <v>25</v>
      </c>
      <c r="J36" s="6">
        <v>80.400000000000006</v>
      </c>
      <c r="K36" s="6">
        <v>1</v>
      </c>
      <c r="L36" s="6">
        <v>0</v>
      </c>
      <c r="M36">
        <v>1</v>
      </c>
      <c r="N36">
        <v>-0.48099999999999998</v>
      </c>
      <c r="P36">
        <v>1</v>
      </c>
      <c r="Q36">
        <v>1</v>
      </c>
      <c r="V36" s="6">
        <v>5</v>
      </c>
      <c r="W36" s="6">
        <v>0</v>
      </c>
      <c r="X36" s="6">
        <v>10</v>
      </c>
      <c r="Y36" s="6">
        <v>10</v>
      </c>
      <c r="Z36" s="6">
        <v>5</v>
      </c>
    </row>
    <row r="37" spans="1:26">
      <c r="A37" t="s">
        <v>144</v>
      </c>
      <c r="B37" s="6" t="s">
        <v>137</v>
      </c>
      <c r="C37" s="6" t="s">
        <v>145</v>
      </c>
      <c r="D37" s="6" t="s">
        <v>19</v>
      </c>
      <c r="E37" s="6">
        <f t="shared" si="2"/>
        <v>2</v>
      </c>
      <c r="F37" s="6">
        <f t="shared" si="2"/>
        <v>1</v>
      </c>
      <c r="G37" s="6">
        <f>X37/$V37</f>
        <v>2</v>
      </c>
      <c r="H37" s="13">
        <v>10</v>
      </c>
      <c r="I37" s="6">
        <v>25</v>
      </c>
      <c r="J37" s="6">
        <v>80.400000000000006</v>
      </c>
      <c r="K37" s="6">
        <v>1</v>
      </c>
      <c r="L37" s="6">
        <v>0</v>
      </c>
      <c r="M37">
        <v>1</v>
      </c>
      <c r="N37">
        <v>-0.48099999999999998</v>
      </c>
      <c r="P37">
        <v>1</v>
      </c>
      <c r="Q37">
        <v>1</v>
      </c>
      <c r="V37" s="6">
        <v>5</v>
      </c>
      <c r="W37" s="6">
        <v>0</v>
      </c>
      <c r="X37" s="6">
        <v>10</v>
      </c>
      <c r="Y37" s="6">
        <v>10</v>
      </c>
      <c r="Z37" s="6">
        <v>5</v>
      </c>
    </row>
    <row r="38" spans="1:26">
      <c r="A38" t="s">
        <v>146</v>
      </c>
      <c r="B38" s="6" t="s">
        <v>137</v>
      </c>
      <c r="C38" s="6" t="s">
        <v>147</v>
      </c>
      <c r="D38" s="6" t="s">
        <v>132</v>
      </c>
      <c r="E38" s="6">
        <f t="shared" si="2"/>
        <v>2</v>
      </c>
      <c r="F38" s="6">
        <f t="shared" si="2"/>
        <v>1</v>
      </c>
      <c r="G38" s="6">
        <f>X38/$V38</f>
        <v>2</v>
      </c>
      <c r="H38" s="13">
        <v>10</v>
      </c>
      <c r="I38" s="6">
        <v>25</v>
      </c>
      <c r="J38" s="6">
        <v>80.400000000000006</v>
      </c>
      <c r="K38" s="6">
        <v>1</v>
      </c>
      <c r="L38" s="6">
        <v>0</v>
      </c>
      <c r="M38">
        <v>1</v>
      </c>
      <c r="N38">
        <v>-0.48099999999999998</v>
      </c>
      <c r="P38">
        <v>1</v>
      </c>
      <c r="Q38">
        <v>1</v>
      </c>
      <c r="V38" s="6">
        <v>5</v>
      </c>
      <c r="W38" s="6">
        <v>0</v>
      </c>
      <c r="X38" s="6">
        <v>10</v>
      </c>
      <c r="Y38" s="6">
        <v>10</v>
      </c>
      <c r="Z38" s="6">
        <v>5</v>
      </c>
    </row>
    <row r="39" spans="1:26">
      <c r="A39" t="s">
        <v>136</v>
      </c>
      <c r="B39" s="6" t="s">
        <v>137</v>
      </c>
      <c r="C39" s="6" t="s">
        <v>139</v>
      </c>
      <c r="D39" s="6" t="s">
        <v>48</v>
      </c>
      <c r="E39" s="6">
        <f>Y39/$V39</f>
        <v>2</v>
      </c>
      <c r="F39" s="6">
        <f>Z39/$V39</f>
        <v>1</v>
      </c>
      <c r="G39" s="6">
        <f>X39/$V39</f>
        <v>0</v>
      </c>
      <c r="H39" s="6">
        <v>12</v>
      </c>
      <c r="I39" s="13">
        <v>25</v>
      </c>
      <c r="J39" s="13">
        <v>80.400000000000006</v>
      </c>
      <c r="K39" s="6">
        <v>1</v>
      </c>
      <c r="L39" s="6">
        <v>0</v>
      </c>
      <c r="M39">
        <v>1</v>
      </c>
      <c r="N39">
        <v>-0.52</v>
      </c>
      <c r="P39">
        <v>1</v>
      </c>
      <c r="Q39">
        <v>1</v>
      </c>
      <c r="V39" s="6">
        <v>5</v>
      </c>
      <c r="W39" s="6">
        <v>0</v>
      </c>
      <c r="X39" s="6">
        <v>0</v>
      </c>
      <c r="Y39" s="6">
        <v>10</v>
      </c>
      <c r="Z39" s="6">
        <v>5</v>
      </c>
    </row>
    <row r="40" spans="1:26">
      <c r="A40" t="s">
        <v>161</v>
      </c>
      <c r="B40" s="6" t="s">
        <v>137</v>
      </c>
      <c r="C40" s="6" t="s">
        <v>162</v>
      </c>
      <c r="D40" s="6" t="s">
        <v>48</v>
      </c>
      <c r="E40" s="6">
        <f>Y40/$V40</f>
        <v>2</v>
      </c>
      <c r="F40" s="6">
        <f>Z40/$V40</f>
        <v>1</v>
      </c>
      <c r="G40" s="6">
        <f>X40/$V40</f>
        <v>0</v>
      </c>
      <c r="H40" s="6">
        <v>12</v>
      </c>
      <c r="I40" s="13">
        <v>25</v>
      </c>
      <c r="J40" s="13">
        <v>80.400000000000006</v>
      </c>
      <c r="K40" s="6">
        <v>1</v>
      </c>
      <c r="L40" s="6">
        <v>0</v>
      </c>
      <c r="M40">
        <v>1</v>
      </c>
      <c r="N40">
        <v>-0.52</v>
      </c>
      <c r="P40">
        <v>1</v>
      </c>
      <c r="Q40">
        <v>1</v>
      </c>
      <c r="V40" s="6">
        <v>5</v>
      </c>
      <c r="W40" s="6">
        <v>0</v>
      </c>
      <c r="X40" s="6">
        <v>0</v>
      </c>
      <c r="Y40" s="6">
        <v>10</v>
      </c>
      <c r="Z40" s="6">
        <v>5</v>
      </c>
    </row>
    <row r="41" spans="1:26">
      <c r="A41" t="s">
        <v>181</v>
      </c>
      <c r="B41" s="6" t="s">
        <v>43</v>
      </c>
      <c r="C41" s="6" t="s">
        <v>183</v>
      </c>
      <c r="D41" s="6" t="s">
        <v>178</v>
      </c>
      <c r="E41" s="6">
        <f>Y41/W41</f>
        <v>625</v>
      </c>
      <c r="F41" s="6">
        <f>Z41/W41</f>
        <v>125</v>
      </c>
      <c r="G41" s="6">
        <f>X41/V41</f>
        <v>250</v>
      </c>
      <c r="H41" s="14">
        <v>7</v>
      </c>
      <c r="I41" s="13">
        <v>25</v>
      </c>
      <c r="J41" s="13">
        <v>7.4</v>
      </c>
      <c r="K41" s="6">
        <v>1</v>
      </c>
      <c r="L41" s="13">
        <v>1</v>
      </c>
      <c r="M41">
        <v>1</v>
      </c>
      <c r="N41">
        <v>-0.48099999999999998</v>
      </c>
      <c r="P41">
        <v>0</v>
      </c>
      <c r="Q41">
        <v>1</v>
      </c>
      <c r="V41" s="13">
        <v>5</v>
      </c>
      <c r="W41" s="6">
        <v>1</v>
      </c>
      <c r="X41" s="6">
        <v>1250</v>
      </c>
      <c r="Y41" s="6">
        <v>625</v>
      </c>
      <c r="Z41" s="6">
        <v>125</v>
      </c>
    </row>
    <row r="42" spans="1:26">
      <c r="A42" t="s">
        <v>190</v>
      </c>
      <c r="B42" s="6" t="s">
        <v>191</v>
      </c>
      <c r="C42" s="6" t="s">
        <v>38</v>
      </c>
      <c r="D42" s="6" t="s">
        <v>178</v>
      </c>
      <c r="E42" s="6">
        <f>Y42/W42</f>
        <v>100</v>
      </c>
      <c r="F42" s="6">
        <f>Z42/W42</f>
        <v>25</v>
      </c>
      <c r="G42" s="6">
        <f>X42/V42</f>
        <v>833.33333333333337</v>
      </c>
      <c r="H42" s="14">
        <v>7</v>
      </c>
      <c r="I42" s="6">
        <v>0</v>
      </c>
      <c r="J42" s="6">
        <v>20.7</v>
      </c>
      <c r="K42" s="6">
        <v>1</v>
      </c>
      <c r="L42" s="6">
        <v>0</v>
      </c>
      <c r="M42">
        <v>1</v>
      </c>
      <c r="N42">
        <v>-0.48099999999999998</v>
      </c>
      <c r="P42">
        <v>1</v>
      </c>
      <c r="Q42">
        <v>1</v>
      </c>
      <c r="V42" s="6">
        <v>6</v>
      </c>
      <c r="W42" s="6">
        <v>20</v>
      </c>
      <c r="X42" s="6">
        <v>5000</v>
      </c>
      <c r="Y42" s="6">
        <v>2000</v>
      </c>
      <c r="Z42" s="6">
        <v>500</v>
      </c>
    </row>
    <row r="43" spans="1:26">
      <c r="A43" t="s">
        <v>199</v>
      </c>
      <c r="B43" s="6" t="s">
        <v>137</v>
      </c>
      <c r="C43" s="6" t="s">
        <v>153</v>
      </c>
      <c r="D43" s="6" t="s">
        <v>48</v>
      </c>
      <c r="E43" s="6">
        <f t="shared" ref="E43:F49" si="3">Y43/$V43</f>
        <v>2</v>
      </c>
      <c r="F43" s="6">
        <f t="shared" si="3"/>
        <v>1</v>
      </c>
      <c r="G43" s="6">
        <f t="shared" ref="G43:G49" si="4">X43/$V43</f>
        <v>0</v>
      </c>
      <c r="H43" s="6">
        <v>7</v>
      </c>
      <c r="I43" s="6">
        <v>25</v>
      </c>
      <c r="J43" s="6">
        <v>80.400000000000006</v>
      </c>
      <c r="K43" s="6">
        <v>1</v>
      </c>
      <c r="L43" s="6">
        <v>0</v>
      </c>
      <c r="M43">
        <v>1</v>
      </c>
      <c r="N43">
        <v>-0.52</v>
      </c>
      <c r="P43">
        <v>1</v>
      </c>
      <c r="Q43">
        <v>1</v>
      </c>
      <c r="V43" s="6">
        <v>250</v>
      </c>
      <c r="W43" s="6">
        <v>0</v>
      </c>
      <c r="X43" s="6">
        <v>0</v>
      </c>
      <c r="Y43" s="6">
        <v>500</v>
      </c>
      <c r="Z43" s="6">
        <v>250</v>
      </c>
    </row>
    <row r="44" spans="1:26">
      <c r="A44" t="s">
        <v>206</v>
      </c>
      <c r="B44" s="6" t="s">
        <v>137</v>
      </c>
      <c r="C44" s="6" t="s">
        <v>153</v>
      </c>
      <c r="D44" s="6" t="s">
        <v>48</v>
      </c>
      <c r="E44" s="6">
        <f t="shared" si="3"/>
        <v>2</v>
      </c>
      <c r="F44" s="6">
        <f t="shared" si="3"/>
        <v>1</v>
      </c>
      <c r="G44" s="6">
        <f t="shared" si="4"/>
        <v>0</v>
      </c>
      <c r="H44" s="6">
        <v>9</v>
      </c>
      <c r="I44" s="6">
        <v>25</v>
      </c>
      <c r="J44" s="6">
        <v>80.400000000000006</v>
      </c>
      <c r="K44" s="6">
        <v>1</v>
      </c>
      <c r="L44" s="6">
        <v>0</v>
      </c>
      <c r="M44">
        <v>1</v>
      </c>
      <c r="N44">
        <v>-0.52</v>
      </c>
      <c r="P44">
        <v>1</v>
      </c>
      <c r="Q44">
        <v>1</v>
      </c>
      <c r="V44" s="6">
        <v>250</v>
      </c>
      <c r="W44" s="6">
        <v>0</v>
      </c>
      <c r="X44" s="6">
        <v>0</v>
      </c>
      <c r="Y44" s="6">
        <v>500</v>
      </c>
      <c r="Z44" s="6">
        <v>250</v>
      </c>
    </row>
    <row r="45" spans="1:26">
      <c r="A45" t="s">
        <v>208</v>
      </c>
      <c r="B45" s="6" t="s">
        <v>137</v>
      </c>
      <c r="C45" s="6" t="s">
        <v>153</v>
      </c>
      <c r="D45" s="6" t="s">
        <v>48</v>
      </c>
      <c r="E45" s="6">
        <f t="shared" si="3"/>
        <v>2</v>
      </c>
      <c r="F45" s="6">
        <f t="shared" si="3"/>
        <v>1</v>
      </c>
      <c r="G45" s="6">
        <f t="shared" si="4"/>
        <v>0</v>
      </c>
      <c r="H45" s="6">
        <v>10</v>
      </c>
      <c r="I45" s="6">
        <v>25</v>
      </c>
      <c r="J45" s="6">
        <v>80.400000000000006</v>
      </c>
      <c r="K45" s="6">
        <v>1</v>
      </c>
      <c r="L45" s="6">
        <v>0</v>
      </c>
      <c r="M45">
        <v>1</v>
      </c>
      <c r="N45">
        <v>-0.52</v>
      </c>
      <c r="P45">
        <v>1</v>
      </c>
      <c r="Q45">
        <v>1</v>
      </c>
      <c r="V45" s="6">
        <v>250</v>
      </c>
      <c r="W45" s="6">
        <v>0</v>
      </c>
      <c r="X45" s="6">
        <v>0</v>
      </c>
      <c r="Y45" s="6">
        <v>500</v>
      </c>
      <c r="Z45" s="6">
        <v>250</v>
      </c>
    </row>
    <row r="46" spans="1:26">
      <c r="A46" t="s">
        <v>209</v>
      </c>
      <c r="B46" s="6" t="s">
        <v>137</v>
      </c>
      <c r="C46" s="6" t="s">
        <v>153</v>
      </c>
      <c r="D46" s="6" t="s">
        <v>48</v>
      </c>
      <c r="E46" s="6">
        <f t="shared" si="3"/>
        <v>2</v>
      </c>
      <c r="F46" s="6">
        <f t="shared" si="3"/>
        <v>1</v>
      </c>
      <c r="G46" s="6">
        <f t="shared" si="4"/>
        <v>0</v>
      </c>
      <c r="H46" s="6">
        <v>11</v>
      </c>
      <c r="I46" s="6">
        <v>25</v>
      </c>
      <c r="J46" s="6">
        <v>80.400000000000006</v>
      </c>
      <c r="K46" s="6">
        <v>1</v>
      </c>
      <c r="L46" s="6">
        <v>0</v>
      </c>
      <c r="M46">
        <v>1</v>
      </c>
      <c r="N46">
        <v>-0.52</v>
      </c>
      <c r="P46">
        <v>1</v>
      </c>
      <c r="Q46">
        <v>1</v>
      </c>
      <c r="V46" s="6">
        <v>250</v>
      </c>
      <c r="W46" s="6">
        <v>0</v>
      </c>
      <c r="X46" s="6">
        <v>0</v>
      </c>
      <c r="Y46" s="6">
        <v>500</v>
      </c>
      <c r="Z46" s="6">
        <v>250</v>
      </c>
    </row>
    <row r="47" spans="1:26">
      <c r="A47" t="s">
        <v>210</v>
      </c>
      <c r="B47" s="6" t="s">
        <v>137</v>
      </c>
      <c r="C47" s="6" t="s">
        <v>139</v>
      </c>
      <c r="D47" s="6" t="s">
        <v>48</v>
      </c>
      <c r="E47" s="6">
        <f t="shared" si="3"/>
        <v>2</v>
      </c>
      <c r="F47" s="6">
        <f t="shared" si="3"/>
        <v>1</v>
      </c>
      <c r="G47" s="6">
        <f t="shared" si="4"/>
        <v>0</v>
      </c>
      <c r="H47" s="6">
        <v>10</v>
      </c>
      <c r="I47" s="6">
        <v>25</v>
      </c>
      <c r="J47" s="6">
        <v>80.400000000000006</v>
      </c>
      <c r="K47" s="6">
        <v>1</v>
      </c>
      <c r="L47" s="6">
        <v>0</v>
      </c>
      <c r="M47">
        <v>1</v>
      </c>
      <c r="N47">
        <v>-0.52</v>
      </c>
      <c r="P47">
        <v>1</v>
      </c>
      <c r="Q47">
        <v>1</v>
      </c>
      <c r="V47" s="6">
        <v>250</v>
      </c>
      <c r="W47" s="6">
        <v>0</v>
      </c>
      <c r="X47" s="6">
        <v>0</v>
      </c>
      <c r="Y47" s="6">
        <v>500</v>
      </c>
      <c r="Z47" s="6">
        <v>250</v>
      </c>
    </row>
    <row r="48" spans="1:26">
      <c r="A48" t="s">
        <v>211</v>
      </c>
      <c r="B48" s="6" t="s">
        <v>137</v>
      </c>
      <c r="C48" s="6" t="s">
        <v>139</v>
      </c>
      <c r="D48" s="6" t="s">
        <v>48</v>
      </c>
      <c r="E48" s="6">
        <f t="shared" si="3"/>
        <v>2</v>
      </c>
      <c r="F48" s="6">
        <f t="shared" si="3"/>
        <v>1</v>
      </c>
      <c r="G48" s="6">
        <f t="shared" si="4"/>
        <v>0</v>
      </c>
      <c r="H48" s="6">
        <v>11</v>
      </c>
      <c r="I48" s="6">
        <v>25</v>
      </c>
      <c r="J48" s="6">
        <v>80.400000000000006</v>
      </c>
      <c r="K48" s="6">
        <v>1</v>
      </c>
      <c r="L48" s="6">
        <v>0</v>
      </c>
      <c r="M48">
        <v>1</v>
      </c>
      <c r="N48">
        <v>-0.52</v>
      </c>
      <c r="P48">
        <v>1</v>
      </c>
      <c r="Q48">
        <v>1</v>
      </c>
      <c r="V48" s="6">
        <v>250</v>
      </c>
      <c r="W48" s="6">
        <v>0</v>
      </c>
      <c r="X48" s="6">
        <v>0</v>
      </c>
      <c r="Y48" s="6">
        <v>500</v>
      </c>
      <c r="Z48" s="6">
        <v>250</v>
      </c>
    </row>
    <row r="49" spans="1:26">
      <c r="A49" t="s">
        <v>136</v>
      </c>
      <c r="B49" s="6" t="s">
        <v>137</v>
      </c>
      <c r="C49" s="6" t="s">
        <v>139</v>
      </c>
      <c r="D49" s="6" t="s">
        <v>48</v>
      </c>
      <c r="E49" s="6">
        <f t="shared" si="3"/>
        <v>2</v>
      </c>
      <c r="F49" s="6">
        <f t="shared" si="3"/>
        <v>1</v>
      </c>
      <c r="G49" s="6">
        <f t="shared" si="4"/>
        <v>0</v>
      </c>
      <c r="H49" s="6">
        <v>12</v>
      </c>
      <c r="I49" s="6">
        <v>25</v>
      </c>
      <c r="J49" s="6">
        <v>80.400000000000006</v>
      </c>
      <c r="K49" s="6">
        <v>1</v>
      </c>
      <c r="L49" s="6">
        <v>0</v>
      </c>
      <c r="M49">
        <v>1</v>
      </c>
      <c r="N49">
        <v>-0.52</v>
      </c>
      <c r="P49">
        <v>1</v>
      </c>
      <c r="Q49">
        <v>1</v>
      </c>
      <c r="V49" s="6">
        <v>250</v>
      </c>
      <c r="W49" s="6">
        <v>0</v>
      </c>
      <c r="X49" s="6">
        <v>0</v>
      </c>
      <c r="Y49" s="6">
        <v>500</v>
      </c>
      <c r="Z49" s="6">
        <v>250</v>
      </c>
    </row>
    <row r="50" spans="1:26">
      <c r="A50" t="s">
        <v>213</v>
      </c>
      <c r="B50" s="6" t="s">
        <v>214</v>
      </c>
      <c r="C50" s="6" t="s">
        <v>249</v>
      </c>
      <c r="D50" s="6" t="s">
        <v>19</v>
      </c>
      <c r="E50" s="6">
        <f>Y50/W50</f>
        <v>1021</v>
      </c>
      <c r="F50" s="6">
        <f>Z50/W50</f>
        <v>250</v>
      </c>
      <c r="G50" s="6">
        <f>X50/V50</f>
        <v>50</v>
      </c>
      <c r="H50" s="14">
        <v>7</v>
      </c>
      <c r="I50" s="13">
        <v>25</v>
      </c>
      <c r="J50" s="13">
        <v>7.4</v>
      </c>
      <c r="K50" s="6">
        <v>1</v>
      </c>
      <c r="L50" s="13">
        <v>1</v>
      </c>
      <c r="M50">
        <v>1</v>
      </c>
      <c r="N50">
        <v>-0.48099999999999998</v>
      </c>
      <c r="P50">
        <v>1</v>
      </c>
      <c r="Q50">
        <v>1</v>
      </c>
      <c r="V50" s="13">
        <v>10</v>
      </c>
      <c r="W50" s="6">
        <v>1</v>
      </c>
      <c r="X50" s="6">
        <v>500</v>
      </c>
      <c r="Y50" s="6">
        <v>1021</v>
      </c>
      <c r="Z50" s="6">
        <v>250</v>
      </c>
    </row>
    <row r="51" spans="1:26">
      <c r="A51" t="s">
        <v>301</v>
      </c>
      <c r="B51" t="s">
        <v>46</v>
      </c>
      <c r="C51" s="19" t="s">
        <v>38</v>
      </c>
      <c r="D51" t="s">
        <v>19</v>
      </c>
      <c r="E51" s="6">
        <f t="shared" ref="E51:E55" si="5">Y51/W51</f>
        <v>333.33333333333331</v>
      </c>
      <c r="F51" s="6">
        <f t="shared" ref="F51:F55" si="6">Z51/W51</f>
        <v>83.333333333333329</v>
      </c>
      <c r="G51" s="6">
        <f t="shared" ref="G51:G55" si="7">X51/V51</f>
        <v>250</v>
      </c>
      <c r="H51" s="6">
        <v>7</v>
      </c>
      <c r="I51">
        <v>0</v>
      </c>
      <c r="J51">
        <v>20.7</v>
      </c>
      <c r="K51" s="6">
        <v>1</v>
      </c>
      <c r="L51" s="6">
        <v>0</v>
      </c>
      <c r="M51">
        <v>1</v>
      </c>
      <c r="N51">
        <v>-0.48099999999999998</v>
      </c>
      <c r="P51">
        <v>0</v>
      </c>
      <c r="Q51">
        <v>1</v>
      </c>
      <c r="V51">
        <v>20</v>
      </c>
      <c r="W51" s="6">
        <v>6</v>
      </c>
      <c r="X51">
        <v>5000</v>
      </c>
      <c r="Y51">
        <f>jiali!E32</f>
        <v>2000</v>
      </c>
      <c r="Z51">
        <f>jiali!F32</f>
        <v>500</v>
      </c>
    </row>
    <row r="52" spans="1:26">
      <c r="A52" t="s">
        <v>307</v>
      </c>
      <c r="B52" t="s">
        <v>44</v>
      </c>
      <c r="C52" s="19" t="s">
        <v>318</v>
      </c>
      <c r="D52" t="s">
        <v>19</v>
      </c>
      <c r="E52" s="6">
        <f t="shared" si="5"/>
        <v>265</v>
      </c>
      <c r="F52" s="6">
        <f t="shared" si="6"/>
        <v>50</v>
      </c>
      <c r="G52" s="6">
        <f t="shared" si="7"/>
        <v>200</v>
      </c>
      <c r="H52" s="6">
        <v>7</v>
      </c>
      <c r="I52">
        <v>25</v>
      </c>
      <c r="J52">
        <v>32.6</v>
      </c>
      <c r="K52" s="6">
        <v>1</v>
      </c>
      <c r="L52">
        <v>1</v>
      </c>
      <c r="M52">
        <v>1</v>
      </c>
      <c r="N52">
        <v>-0.48099999999999998</v>
      </c>
      <c r="P52">
        <v>0</v>
      </c>
      <c r="Q52">
        <v>1</v>
      </c>
      <c r="V52">
        <v>15</v>
      </c>
      <c r="W52" s="6">
        <v>6</v>
      </c>
      <c r="X52">
        <v>3000</v>
      </c>
      <c r="Y52">
        <f>jiali!E33</f>
        <v>1590</v>
      </c>
      <c r="Z52">
        <f>jiali!F33</f>
        <v>300</v>
      </c>
    </row>
    <row r="53" spans="1:26">
      <c r="A53" t="s">
        <v>313</v>
      </c>
      <c r="B53" t="s">
        <v>44</v>
      </c>
      <c r="C53" s="6" t="s">
        <v>40</v>
      </c>
      <c r="D53" t="s">
        <v>19</v>
      </c>
      <c r="E53" s="6">
        <f t="shared" si="5"/>
        <v>266.66666666666669</v>
      </c>
      <c r="F53" s="6">
        <f t="shared" si="6"/>
        <v>50</v>
      </c>
      <c r="G53" s="6">
        <f t="shared" si="7"/>
        <v>200</v>
      </c>
      <c r="H53" s="6">
        <v>7</v>
      </c>
      <c r="I53">
        <v>25</v>
      </c>
      <c r="J53">
        <v>32.6</v>
      </c>
      <c r="K53" s="6">
        <v>1</v>
      </c>
      <c r="L53">
        <v>1</v>
      </c>
      <c r="M53">
        <v>1</v>
      </c>
      <c r="N53">
        <v>-0.48099999999999998</v>
      </c>
      <c r="P53">
        <v>1</v>
      </c>
      <c r="Q53">
        <v>1</v>
      </c>
      <c r="V53">
        <v>15</v>
      </c>
      <c r="W53" s="6">
        <v>6</v>
      </c>
      <c r="X53">
        <v>3000</v>
      </c>
      <c r="Y53">
        <f>jiali!E34</f>
        <v>1600</v>
      </c>
      <c r="Z53">
        <f>jiali!F34</f>
        <v>300</v>
      </c>
    </row>
    <row r="54" spans="1:26">
      <c r="A54" t="s">
        <v>316</v>
      </c>
      <c r="B54" t="s">
        <v>44</v>
      </c>
      <c r="C54" s="19" t="s">
        <v>318</v>
      </c>
      <c r="D54" t="s">
        <v>19</v>
      </c>
      <c r="E54" s="6">
        <f t="shared" si="5"/>
        <v>132.5</v>
      </c>
      <c r="F54" s="6">
        <f t="shared" si="6"/>
        <v>25</v>
      </c>
      <c r="G54" s="6">
        <f t="shared" si="7"/>
        <v>400</v>
      </c>
      <c r="H54" s="6">
        <v>7</v>
      </c>
      <c r="I54">
        <v>0</v>
      </c>
      <c r="J54">
        <v>32.6</v>
      </c>
      <c r="K54" s="6">
        <v>1</v>
      </c>
      <c r="L54">
        <v>1</v>
      </c>
      <c r="M54">
        <v>1</v>
      </c>
      <c r="N54">
        <v>-0.48099999999999998</v>
      </c>
      <c r="P54">
        <v>1</v>
      </c>
      <c r="Q54">
        <v>1</v>
      </c>
      <c r="V54">
        <v>30</v>
      </c>
      <c r="W54" s="6">
        <v>24</v>
      </c>
      <c r="X54">
        <v>12000</v>
      </c>
      <c r="Y54">
        <f>jiali!E35</f>
        <v>3180</v>
      </c>
      <c r="Z54">
        <f>jiali!F35</f>
        <v>600</v>
      </c>
    </row>
    <row r="55" spans="1:26">
      <c r="A55" t="s">
        <v>321</v>
      </c>
      <c r="B55" s="6" t="s">
        <v>47</v>
      </c>
      <c r="C55" t="s">
        <v>322</v>
      </c>
      <c r="D55" t="s">
        <v>19</v>
      </c>
      <c r="E55" s="6">
        <f t="shared" si="5"/>
        <v>84</v>
      </c>
      <c r="F55" s="6">
        <f t="shared" si="6"/>
        <v>42</v>
      </c>
      <c r="G55" s="6">
        <f t="shared" si="7"/>
        <v>140</v>
      </c>
      <c r="H55" s="6">
        <v>7</v>
      </c>
      <c r="I55">
        <v>25</v>
      </c>
      <c r="J55">
        <v>8.93</v>
      </c>
      <c r="K55" s="6">
        <v>1</v>
      </c>
      <c r="L55">
        <v>1</v>
      </c>
      <c r="M55">
        <v>0</v>
      </c>
      <c r="N55">
        <v>-0.48099999999999998</v>
      </c>
      <c r="P55">
        <v>1</v>
      </c>
      <c r="Q55">
        <v>1</v>
      </c>
      <c r="V55">
        <v>15</v>
      </c>
      <c r="W55" s="6">
        <v>5</v>
      </c>
      <c r="X55">
        <v>2100</v>
      </c>
      <c r="Y55">
        <f>jiali!E36</f>
        <v>420</v>
      </c>
      <c r="Z55">
        <f>jiali!F36</f>
        <v>210</v>
      </c>
    </row>
  </sheetData>
  <conditionalFormatting sqref="W51:Z55 V1:Z50 V56:Z1048576 A1:P1048576">
    <cfRule type="expression" dxfId="0" priority="1">
      <formula>$Q1=1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screte"/>
  <dimension ref="A1:AL18"/>
  <sheetViews>
    <sheetView topLeftCell="Q1" workbookViewId="0">
      <selection activeCell="S38" sqref="S38"/>
    </sheetView>
  </sheetViews>
  <sheetFormatPr defaultRowHeight="15"/>
  <cols>
    <col min="1" max="1" width="9.42578125" style="6" customWidth="1"/>
    <col min="2" max="2" width="20.7109375" style="6" customWidth="1"/>
    <col min="3" max="3" width="10" style="6" bestFit="1" customWidth="1"/>
    <col min="4" max="5" width="6.85546875" style="6" customWidth="1"/>
    <col min="6" max="6" width="11.42578125" style="6" bestFit="1" customWidth="1"/>
    <col min="7" max="7" width="8.140625" style="6" bestFit="1" customWidth="1"/>
    <col min="8" max="8" width="10.5703125" style="6" bestFit="1" customWidth="1"/>
    <col min="9" max="9" width="15.5703125" style="6" bestFit="1" customWidth="1"/>
    <col min="10" max="11" width="11.5703125" style="6" bestFit="1" customWidth="1"/>
    <col min="12" max="12" width="6.85546875" style="6" bestFit="1" customWidth="1"/>
    <col min="13" max="15" width="9.140625" style="6"/>
    <col min="16" max="16" width="21.7109375" style="6" customWidth="1"/>
    <col min="17" max="17" width="9.140625" style="6"/>
    <col min="18" max="18" width="52.5703125" style="6" bestFit="1" customWidth="1"/>
    <col min="19" max="16384" width="9.140625" style="6"/>
  </cols>
  <sheetData>
    <row r="1" spans="1:38" ht="15.75" thickBot="1">
      <c r="A1" s="6" t="s">
        <v>61</v>
      </c>
      <c r="B1" s="6" t="s">
        <v>54</v>
      </c>
      <c r="C1" s="6" t="s">
        <v>55</v>
      </c>
      <c r="D1" s="6" t="s">
        <v>56</v>
      </c>
      <c r="E1" s="6" t="s">
        <v>258</v>
      </c>
      <c r="F1" s="6" t="s">
        <v>49</v>
      </c>
      <c r="G1" s="6" t="s">
        <v>50</v>
      </c>
      <c r="H1" s="6" t="s">
        <v>51</v>
      </c>
      <c r="I1" s="6" t="s">
        <v>52</v>
      </c>
      <c r="J1" s="6" t="s">
        <v>233</v>
      </c>
      <c r="K1" s="6" t="s">
        <v>232</v>
      </c>
      <c r="L1" s="6" t="s">
        <v>53</v>
      </c>
      <c r="N1" s="6" t="s">
        <v>61</v>
      </c>
      <c r="O1" s="6" t="s">
        <v>54</v>
      </c>
      <c r="P1" s="6" t="s">
        <v>55</v>
      </c>
      <c r="Q1" s="6" t="s">
        <v>56</v>
      </c>
      <c r="R1" s="6" t="s">
        <v>258</v>
      </c>
      <c r="S1" s="6" t="s">
        <v>49</v>
      </c>
      <c r="T1" s="6" t="s">
        <v>50</v>
      </c>
      <c r="U1" s="6" t="s">
        <v>51</v>
      </c>
      <c r="V1" s="6" t="s">
        <v>52</v>
      </c>
      <c r="W1" s="6" t="s">
        <v>233</v>
      </c>
      <c r="X1" s="6" t="s">
        <v>232</v>
      </c>
      <c r="Y1" s="6" t="s">
        <v>53</v>
      </c>
      <c r="AA1" s="6" t="s">
        <v>61</v>
      </c>
      <c r="AB1" s="6" t="s">
        <v>54</v>
      </c>
      <c r="AC1" s="6" t="s">
        <v>55</v>
      </c>
      <c r="AD1" s="6" t="s">
        <v>56</v>
      </c>
      <c r="AE1" s="6" t="s">
        <v>258</v>
      </c>
      <c r="AF1" s="6" t="s">
        <v>49</v>
      </c>
      <c r="AG1" s="6" t="s">
        <v>50</v>
      </c>
      <c r="AH1" s="6" t="s">
        <v>51</v>
      </c>
      <c r="AI1" s="6" t="s">
        <v>52</v>
      </c>
      <c r="AJ1" s="6" t="s">
        <v>233</v>
      </c>
      <c r="AK1" s="6" t="s">
        <v>232</v>
      </c>
      <c r="AL1" s="6" t="s">
        <v>53</v>
      </c>
    </row>
    <row r="2" spans="1:38" ht="15.75" thickBot="1">
      <c r="A2" s="6" t="s">
        <v>16</v>
      </c>
      <c r="B2" s="6" t="s">
        <v>41</v>
      </c>
      <c r="D2" s="8" t="s">
        <v>238</v>
      </c>
      <c r="E2" s="9" t="s">
        <v>260</v>
      </c>
      <c r="F2" s="6">
        <v>18.015000000000001</v>
      </c>
      <c r="G2" s="6">
        <v>1</v>
      </c>
      <c r="H2" s="6">
        <v>1</v>
      </c>
      <c r="I2" s="6">
        <v>0</v>
      </c>
      <c r="J2" s="6">
        <v>0</v>
      </c>
      <c r="K2" s="6">
        <v>1</v>
      </c>
      <c r="L2" s="6">
        <v>-0.5</v>
      </c>
      <c r="N2" s="6" t="s">
        <v>27</v>
      </c>
      <c r="O2" s="6" t="s">
        <v>7</v>
      </c>
      <c r="P2" s="10" t="s">
        <v>255</v>
      </c>
      <c r="Q2" s="10" t="s">
        <v>273</v>
      </c>
      <c r="R2" s="9" t="s">
        <v>265</v>
      </c>
      <c r="S2" s="11">
        <v>148.22</v>
      </c>
      <c r="T2" s="11">
        <v>2</v>
      </c>
      <c r="U2" s="6">
        <v>3</v>
      </c>
      <c r="V2" s="6">
        <v>5</v>
      </c>
      <c r="W2" s="6">
        <v>83.1</v>
      </c>
      <c r="X2" s="6">
        <v>38.299999999999997</v>
      </c>
      <c r="Y2" s="6">
        <v>0.6</v>
      </c>
      <c r="AA2" s="6" t="s">
        <v>2</v>
      </c>
      <c r="AB2" s="6" t="s">
        <v>19</v>
      </c>
      <c r="AC2" s="6" t="s">
        <v>246</v>
      </c>
      <c r="AD2" s="8" t="s">
        <v>245</v>
      </c>
      <c r="AE2" s="9" t="s">
        <v>287</v>
      </c>
      <c r="AF2" s="6">
        <v>37.832000000000001</v>
      </c>
      <c r="AG2" s="6">
        <v>0</v>
      </c>
      <c r="AH2" s="6">
        <v>1</v>
      </c>
      <c r="AI2" s="6">
        <v>0</v>
      </c>
      <c r="AJ2" s="6">
        <v>2</v>
      </c>
      <c r="AK2" s="6">
        <v>0</v>
      </c>
      <c r="AL2" s="6" t="s">
        <v>226</v>
      </c>
    </row>
    <row r="3" spans="1:38">
      <c r="B3" s="6" t="s">
        <v>42</v>
      </c>
      <c r="D3" s="8" t="s">
        <v>240</v>
      </c>
      <c r="E3" s="9" t="s">
        <v>261</v>
      </c>
      <c r="F3" s="6">
        <v>92.14</v>
      </c>
      <c r="G3" s="6">
        <v>0</v>
      </c>
      <c r="H3" s="6">
        <v>0</v>
      </c>
      <c r="I3" s="6">
        <v>0</v>
      </c>
      <c r="J3" s="6">
        <v>42</v>
      </c>
      <c r="K3" s="6">
        <v>0</v>
      </c>
      <c r="L3" s="6">
        <v>2.7</v>
      </c>
      <c r="O3" s="6" t="s">
        <v>29</v>
      </c>
      <c r="P3" s="12" t="s">
        <v>57</v>
      </c>
      <c r="Q3" s="8" t="s">
        <v>58</v>
      </c>
      <c r="R3" s="9" t="s">
        <v>266</v>
      </c>
      <c r="S3" s="6">
        <v>335.29599999999999</v>
      </c>
      <c r="T3" s="6">
        <v>4</v>
      </c>
      <c r="U3" s="6">
        <v>6</v>
      </c>
      <c r="V3" s="6">
        <v>6</v>
      </c>
      <c r="W3" s="6">
        <v>452</v>
      </c>
      <c r="X3" s="6">
        <v>121</v>
      </c>
      <c r="Y3" s="6">
        <v>-1.8</v>
      </c>
      <c r="AB3" s="6" t="s">
        <v>48</v>
      </c>
      <c r="AC3" s="6" t="s">
        <v>248</v>
      </c>
      <c r="AD3" s="8" t="s">
        <v>247</v>
      </c>
      <c r="AE3" s="9" t="s">
        <v>288</v>
      </c>
      <c r="AF3" s="6">
        <v>28.01</v>
      </c>
      <c r="AG3" s="6">
        <v>0</v>
      </c>
      <c r="AH3" s="6">
        <v>1</v>
      </c>
      <c r="AI3" s="6">
        <v>0</v>
      </c>
      <c r="AJ3" s="6">
        <v>10</v>
      </c>
      <c r="AK3" s="6">
        <v>1</v>
      </c>
      <c r="AL3" s="6">
        <v>0.7</v>
      </c>
    </row>
    <row r="4" spans="1:38">
      <c r="B4" s="6" t="s">
        <v>43</v>
      </c>
      <c r="C4" s="6" t="s">
        <v>231</v>
      </c>
      <c r="D4" s="8" t="s">
        <v>239</v>
      </c>
      <c r="E4" s="9" t="s">
        <v>259</v>
      </c>
      <c r="F4" s="6">
        <v>72.106999999999999</v>
      </c>
      <c r="G4" s="6">
        <v>0</v>
      </c>
      <c r="H4" s="6">
        <v>1</v>
      </c>
      <c r="I4" s="6">
        <v>0</v>
      </c>
      <c r="J4" s="6">
        <v>22.8</v>
      </c>
      <c r="K4" s="6">
        <v>9.1999999999999993</v>
      </c>
      <c r="L4" s="6">
        <v>0.5</v>
      </c>
      <c r="O4" s="6" t="s">
        <v>28</v>
      </c>
      <c r="P4" s="6" t="s">
        <v>59</v>
      </c>
      <c r="Q4" s="8" t="s">
        <v>234</v>
      </c>
      <c r="R4" s="9" t="s">
        <v>267</v>
      </c>
      <c r="S4" s="6">
        <v>154.18299999999999</v>
      </c>
      <c r="T4" s="6">
        <v>2</v>
      </c>
      <c r="U4" s="6">
        <v>3</v>
      </c>
      <c r="V4" s="6">
        <v>1</v>
      </c>
      <c r="W4" s="6">
        <v>136</v>
      </c>
      <c r="X4" s="6">
        <v>38.299999999999997</v>
      </c>
      <c r="Y4" s="6">
        <v>2.2999999999999998</v>
      </c>
    </row>
    <row r="5" spans="1:38">
      <c r="B5" s="6" t="s">
        <v>44</v>
      </c>
      <c r="D5" s="8" t="s">
        <v>241</v>
      </c>
      <c r="E5" s="9" t="s">
        <v>48</v>
      </c>
      <c r="F5" s="6">
        <v>32.042000000000002</v>
      </c>
      <c r="G5" s="6">
        <v>1</v>
      </c>
      <c r="H5" s="6">
        <v>1</v>
      </c>
      <c r="I5" s="6">
        <v>0</v>
      </c>
      <c r="J5" s="6">
        <v>2</v>
      </c>
      <c r="K5" s="6">
        <v>20.2</v>
      </c>
      <c r="L5" s="6">
        <v>-0.5</v>
      </c>
      <c r="O5" s="6" t="s">
        <v>34</v>
      </c>
      <c r="P5" s="12" t="s">
        <v>256</v>
      </c>
      <c r="Q5" s="8" t="s">
        <v>274</v>
      </c>
      <c r="R5" s="9" t="s">
        <v>268</v>
      </c>
      <c r="S5" s="6">
        <v>106.139</v>
      </c>
      <c r="T5" s="6">
        <v>2</v>
      </c>
      <c r="U5" s="6">
        <v>3</v>
      </c>
      <c r="V5" s="6">
        <v>2</v>
      </c>
      <c r="W5" s="6">
        <v>52.8</v>
      </c>
      <c r="X5" s="6">
        <v>38.299999999999997</v>
      </c>
      <c r="Y5" s="6">
        <v>0.4</v>
      </c>
    </row>
    <row r="6" spans="1:38">
      <c r="B6" s="6" t="s">
        <v>45</v>
      </c>
      <c r="C6" s="6" t="s">
        <v>230</v>
      </c>
      <c r="D6" s="8" t="s">
        <v>242</v>
      </c>
      <c r="E6" s="9" t="s">
        <v>263</v>
      </c>
      <c r="F6" s="6">
        <v>35.045999999999999</v>
      </c>
      <c r="G6" s="6">
        <v>2</v>
      </c>
      <c r="H6" s="6">
        <v>1</v>
      </c>
      <c r="I6" s="6">
        <v>0</v>
      </c>
      <c r="J6" s="6">
        <v>0</v>
      </c>
      <c r="K6" s="6">
        <v>2</v>
      </c>
      <c r="L6" s="6" t="s">
        <v>226</v>
      </c>
      <c r="O6" s="6" t="s">
        <v>62</v>
      </c>
      <c r="P6" s="6" t="s">
        <v>60</v>
      </c>
      <c r="Q6" s="8" t="s">
        <v>235</v>
      </c>
      <c r="R6" s="9" t="s">
        <v>269</v>
      </c>
      <c r="S6" s="6">
        <v>262.29199999999997</v>
      </c>
      <c r="T6" s="6">
        <v>0</v>
      </c>
      <c r="U6" s="6">
        <v>0</v>
      </c>
      <c r="V6" s="6">
        <v>3</v>
      </c>
      <c r="W6" s="6">
        <v>202</v>
      </c>
      <c r="X6" s="6">
        <v>0</v>
      </c>
      <c r="Y6" s="6">
        <v>4.5999999999999996</v>
      </c>
    </row>
    <row r="7" spans="1:38">
      <c r="B7" s="6" t="s">
        <v>46</v>
      </c>
      <c r="D7" s="8" t="s">
        <v>243</v>
      </c>
      <c r="E7" s="9" t="s">
        <v>262</v>
      </c>
      <c r="F7" s="6">
        <v>58.08</v>
      </c>
      <c r="G7" s="6">
        <v>0</v>
      </c>
      <c r="H7" s="6">
        <v>1</v>
      </c>
      <c r="I7" s="6">
        <v>0</v>
      </c>
      <c r="J7" s="6">
        <v>26.3</v>
      </c>
      <c r="K7" s="6">
        <v>17.100000000000001</v>
      </c>
      <c r="L7" s="6">
        <v>-0.1</v>
      </c>
      <c r="O7" s="6" t="s">
        <v>270</v>
      </c>
      <c r="Q7" s="8" t="s">
        <v>272</v>
      </c>
      <c r="R7" s="9" t="s">
        <v>271</v>
      </c>
      <c r="S7" s="6">
        <v>138.22800000000001</v>
      </c>
      <c r="T7" s="6">
        <v>1</v>
      </c>
      <c r="U7" s="6">
        <v>1</v>
      </c>
      <c r="V7" s="6">
        <v>2</v>
      </c>
      <c r="W7" s="6">
        <v>65</v>
      </c>
      <c r="X7" s="6">
        <v>1</v>
      </c>
      <c r="Y7" s="6">
        <v>2.6</v>
      </c>
    </row>
    <row r="8" spans="1:38">
      <c r="B8" s="6" t="s">
        <v>47</v>
      </c>
      <c r="C8" s="6" t="s">
        <v>229</v>
      </c>
      <c r="D8" s="8" t="s">
        <v>244</v>
      </c>
      <c r="E8" s="9" t="s">
        <v>264</v>
      </c>
      <c r="F8" s="6">
        <v>84.927000000000007</v>
      </c>
      <c r="G8" s="6">
        <v>0</v>
      </c>
      <c r="H8" s="6">
        <v>0</v>
      </c>
      <c r="I8" s="6">
        <v>0</v>
      </c>
      <c r="J8" s="6">
        <v>2.8</v>
      </c>
      <c r="K8" s="6">
        <v>0</v>
      </c>
      <c r="L8" s="6">
        <v>1.5</v>
      </c>
      <c r="O8" s="6" t="s">
        <v>257</v>
      </c>
      <c r="Q8" s="8" t="s">
        <v>236</v>
      </c>
      <c r="R8" s="9" t="s">
        <v>275</v>
      </c>
      <c r="S8" s="6">
        <v>217.28299999999999</v>
      </c>
      <c r="T8" s="6">
        <v>2</v>
      </c>
      <c r="U8" s="6">
        <v>4</v>
      </c>
      <c r="V8" s="6">
        <v>3</v>
      </c>
      <c r="W8" s="6">
        <v>244</v>
      </c>
      <c r="X8" s="6">
        <v>58.6</v>
      </c>
      <c r="Y8" s="6">
        <v>0.3</v>
      </c>
    </row>
    <row r="9" spans="1:38">
      <c r="O9" s="6" t="s">
        <v>35</v>
      </c>
      <c r="P9" s="6" t="s">
        <v>250</v>
      </c>
      <c r="Q9" s="6" t="s">
        <v>277</v>
      </c>
      <c r="R9" s="9" t="s">
        <v>276</v>
      </c>
      <c r="S9" s="6">
        <v>121.154</v>
      </c>
      <c r="T9" s="6">
        <v>3</v>
      </c>
      <c r="U9" s="6">
        <v>4</v>
      </c>
      <c r="V9" s="6">
        <v>2</v>
      </c>
      <c r="W9" s="6">
        <v>75.3</v>
      </c>
      <c r="X9" s="6">
        <v>64.3</v>
      </c>
      <c r="Y9" s="6">
        <v>-2.5</v>
      </c>
    </row>
    <row r="10" spans="1:38">
      <c r="O10" s="6" t="s">
        <v>36</v>
      </c>
      <c r="P10" s="6" t="s">
        <v>251</v>
      </c>
      <c r="Q10" s="6" t="s">
        <v>278</v>
      </c>
      <c r="R10" s="9" t="s">
        <v>279</v>
      </c>
      <c r="S10" s="6">
        <v>135.18100000000001</v>
      </c>
      <c r="T10" s="6">
        <v>3</v>
      </c>
      <c r="U10" s="6">
        <v>4</v>
      </c>
      <c r="V10" s="6">
        <v>3</v>
      </c>
      <c r="W10" s="6">
        <v>86.1</v>
      </c>
      <c r="X10" s="6">
        <v>64.3</v>
      </c>
      <c r="Y10" s="6">
        <v>-3.4</v>
      </c>
    </row>
    <row r="11" spans="1:38">
      <c r="O11" s="6" t="s">
        <v>37</v>
      </c>
      <c r="P11" s="6" t="s">
        <v>252</v>
      </c>
      <c r="Q11" s="6" t="s">
        <v>280</v>
      </c>
      <c r="R11" s="9" t="s">
        <v>281</v>
      </c>
      <c r="S11" s="6">
        <v>218.35499999999999</v>
      </c>
      <c r="T11" s="6">
        <v>2</v>
      </c>
      <c r="U11" s="6">
        <v>3</v>
      </c>
      <c r="V11" s="6">
        <v>10</v>
      </c>
      <c r="W11" s="6">
        <v>137</v>
      </c>
      <c r="X11" s="6">
        <v>38.299999999999997</v>
      </c>
      <c r="Y11" s="6">
        <v>4</v>
      </c>
    </row>
    <row r="12" spans="1:38">
      <c r="O12" s="6" t="s">
        <v>38</v>
      </c>
      <c r="P12" s="7" t="s">
        <v>253</v>
      </c>
      <c r="Q12" s="8" t="s">
        <v>282</v>
      </c>
      <c r="R12" s="9" t="s">
        <v>283</v>
      </c>
      <c r="S12" s="6">
        <v>307.32100000000003</v>
      </c>
      <c r="T12" s="6">
        <v>6</v>
      </c>
      <c r="U12" s="6">
        <v>8</v>
      </c>
      <c r="V12" s="6">
        <v>9</v>
      </c>
      <c r="W12" s="6">
        <v>389</v>
      </c>
      <c r="X12" s="6">
        <v>160</v>
      </c>
      <c r="Y12" s="6">
        <v>-4.5</v>
      </c>
    </row>
    <row r="13" spans="1:38">
      <c r="O13" s="1" t="s">
        <v>39</v>
      </c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38">
      <c r="O14" s="6" t="s">
        <v>40</v>
      </c>
      <c r="Q14" s="8" t="s">
        <v>237</v>
      </c>
      <c r="R14" s="9" t="s">
        <v>284</v>
      </c>
      <c r="S14" s="6">
        <v>116.066</v>
      </c>
      <c r="T14" s="6">
        <v>1</v>
      </c>
      <c r="U14" s="6">
        <v>1</v>
      </c>
      <c r="V14" s="6">
        <v>0</v>
      </c>
      <c r="W14" s="6">
        <v>46.1</v>
      </c>
      <c r="X14" s="6">
        <v>1</v>
      </c>
      <c r="Y14" s="6">
        <v>2.7</v>
      </c>
    </row>
    <row r="15" spans="1:38">
      <c r="O15" s="6" t="s">
        <v>130</v>
      </c>
      <c r="P15" s="6" t="s">
        <v>254</v>
      </c>
      <c r="Q15" s="8" t="s">
        <v>285</v>
      </c>
      <c r="R15" s="9" t="s">
        <v>286</v>
      </c>
      <c r="S15" s="6">
        <v>124.20099999999999</v>
      </c>
      <c r="T15" s="6">
        <v>1</v>
      </c>
      <c r="U15" s="6">
        <v>1</v>
      </c>
      <c r="V15" s="6">
        <v>0</v>
      </c>
      <c r="W15" s="6">
        <v>62.8</v>
      </c>
      <c r="X15" s="6">
        <v>1</v>
      </c>
      <c r="Y15" s="6">
        <v>2.9</v>
      </c>
    </row>
    <row r="16" spans="1:38" ht="17.25">
      <c r="O16" s="6" t="s">
        <v>318</v>
      </c>
      <c r="Q16" s="8" t="s">
        <v>327</v>
      </c>
      <c r="R16" s="20" t="s">
        <v>328</v>
      </c>
      <c r="S16" s="6">
        <v>118.238</v>
      </c>
      <c r="T16" s="6">
        <v>1</v>
      </c>
      <c r="U16" s="6">
        <v>1</v>
      </c>
      <c r="V16" s="6">
        <v>4</v>
      </c>
      <c r="W16" s="6">
        <v>27.4</v>
      </c>
      <c r="X16" s="6">
        <v>1</v>
      </c>
      <c r="Y16" s="6">
        <v>3.3</v>
      </c>
    </row>
    <row r="17" spans="15:25">
      <c r="O17" s="6" t="s">
        <v>38</v>
      </c>
      <c r="P17" s="6" t="s">
        <v>329</v>
      </c>
      <c r="Q17" s="8" t="s">
        <v>331</v>
      </c>
      <c r="R17" s="21" t="s">
        <v>283</v>
      </c>
      <c r="S17" s="6">
        <v>307.32100000000003</v>
      </c>
      <c r="T17" s="6">
        <v>6</v>
      </c>
      <c r="U17" s="6">
        <v>8</v>
      </c>
      <c r="V17" s="6">
        <v>9</v>
      </c>
      <c r="W17" s="6">
        <v>389</v>
      </c>
      <c r="X17" s="6">
        <v>170</v>
      </c>
      <c r="Y17" s="6">
        <v>-4.5</v>
      </c>
    </row>
    <row r="18" spans="15:25">
      <c r="O18" s="6" t="s">
        <v>322</v>
      </c>
      <c r="P18" s="6" t="s">
        <v>333</v>
      </c>
      <c r="Q18" s="8" t="s">
        <v>332</v>
      </c>
      <c r="R18" s="21" t="s">
        <v>330</v>
      </c>
      <c r="S18" s="6">
        <v>110.17400000000001</v>
      </c>
      <c r="T18" s="6">
        <v>1</v>
      </c>
      <c r="U18" s="6">
        <v>1</v>
      </c>
      <c r="V18" s="6">
        <v>0</v>
      </c>
      <c r="W18" s="6">
        <v>46.1</v>
      </c>
      <c r="X18" s="6">
        <v>1</v>
      </c>
      <c r="Y18" s="6">
        <v>2.5</v>
      </c>
    </row>
  </sheetData>
  <hyperlinks>
    <hyperlink ref="Q3" r:id="rId1" location="section=Synonyms"/>
    <hyperlink ref="D3" r:id="rId2" location="section=Top"/>
    <hyperlink ref="Q14" r:id="rId3"/>
    <hyperlink ref="D2" r:id="rId4"/>
    <hyperlink ref="D4" r:id="rId5"/>
    <hyperlink ref="D5" r:id="rId6"/>
    <hyperlink ref="D6" r:id="rId7"/>
    <hyperlink ref="D7" r:id="rId8"/>
    <hyperlink ref="D8" r:id="rId9" location="section=Chemical-and-Physical-Properties"/>
    <hyperlink ref="Q4" r:id="rId10"/>
    <hyperlink ref="Q6" r:id="rId11" location="section=Chemical-and-Physical-Properties"/>
    <hyperlink ref="Q8" r:id="rId12" location="section=Top"/>
    <hyperlink ref="Q12" r:id="rId13" location="section=Top"/>
    <hyperlink ref="AD2" r:id="rId14"/>
    <hyperlink ref="AD3" r:id="rId15"/>
    <hyperlink ref="Q15" r:id="rId16"/>
    <hyperlink ref="Q17" r:id="rId17"/>
    <hyperlink ref="Q16" r:id="rId18" location="section=Top"/>
    <hyperlink ref="Q18" r:id="rId19" location="section=Top"/>
  </hyperlinks>
  <pageMargins left="0.7" right="0.7" top="0.75" bottom="0.75" header="0.3" footer="0.3"/>
  <pageSetup orientation="portrait" r:id="rId2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f"/>
  <dimension ref="A1:AF55"/>
  <sheetViews>
    <sheetView workbookViewId="0">
      <selection activeCell="R23" sqref="A23:R24"/>
    </sheetView>
  </sheetViews>
  <sheetFormatPr defaultRowHeight="15"/>
  <sheetData>
    <row r="1" spans="1:32">
      <c r="A1" t="s">
        <v>291</v>
      </c>
      <c r="B1" t="s">
        <v>292</v>
      </c>
      <c r="C1" t="s">
        <v>293</v>
      </c>
      <c r="D1" t="s">
        <v>1</v>
      </c>
      <c r="E1" t="s">
        <v>224</v>
      </c>
      <c r="F1" t="s">
        <v>336</v>
      </c>
      <c r="G1" t="s">
        <v>339</v>
      </c>
      <c r="H1" t="s">
        <v>338</v>
      </c>
      <c r="I1" t="s">
        <v>340</v>
      </c>
      <c r="J1" t="s">
        <v>337</v>
      </c>
      <c r="K1" t="s">
        <v>49</v>
      </c>
      <c r="L1" t="s">
        <v>50</v>
      </c>
      <c r="M1" t="s">
        <v>51</v>
      </c>
      <c r="N1" t="s">
        <v>52</v>
      </c>
      <c r="O1" t="s">
        <v>233</v>
      </c>
      <c r="P1" t="s">
        <v>232</v>
      </c>
      <c r="Q1" t="s">
        <v>53</v>
      </c>
      <c r="R1" t="s">
        <v>49</v>
      </c>
      <c r="S1" t="s">
        <v>50</v>
      </c>
      <c r="T1" t="s">
        <v>51</v>
      </c>
      <c r="U1" t="s">
        <v>52</v>
      </c>
      <c r="V1" t="s">
        <v>233</v>
      </c>
      <c r="W1" t="s">
        <v>232</v>
      </c>
      <c r="X1" t="s">
        <v>53</v>
      </c>
      <c r="Y1" t="s">
        <v>49</v>
      </c>
      <c r="Z1" t="s">
        <v>50</v>
      </c>
      <c r="AA1" t="s">
        <v>51</v>
      </c>
      <c r="AB1" t="s">
        <v>52</v>
      </c>
      <c r="AC1" t="s">
        <v>233</v>
      </c>
      <c r="AD1" t="s">
        <v>232</v>
      </c>
      <c r="AE1" t="s">
        <v>53</v>
      </c>
      <c r="AF1" t="s">
        <v>220</v>
      </c>
    </row>
    <row r="2" spans="1:32">
      <c r="A2">
        <v>2.2471910112359552</v>
      </c>
      <c r="B2">
        <v>1.1235955056179776</v>
      </c>
      <c r="C2">
        <v>2.7325842696629219</v>
      </c>
      <c r="D2">
        <v>12.5</v>
      </c>
      <c r="E2">
        <v>22</v>
      </c>
      <c r="F2">
        <v>80.400000000000006</v>
      </c>
      <c r="G2">
        <v>1</v>
      </c>
      <c r="H2">
        <v>0</v>
      </c>
      <c r="I2">
        <v>1</v>
      </c>
      <c r="J2">
        <v>-0.48099999999999998</v>
      </c>
      <c r="K2">
        <v>18.015000000000001</v>
      </c>
      <c r="L2">
        <v>1</v>
      </c>
      <c r="M2">
        <v>1</v>
      </c>
      <c r="N2">
        <v>0</v>
      </c>
      <c r="O2">
        <v>0</v>
      </c>
      <c r="P2">
        <v>1</v>
      </c>
      <c r="Q2">
        <v>-0.5</v>
      </c>
      <c r="R2">
        <v>148.22</v>
      </c>
      <c r="S2">
        <v>2</v>
      </c>
      <c r="T2">
        <v>3</v>
      </c>
      <c r="U2">
        <v>5</v>
      </c>
      <c r="V2">
        <v>83.1</v>
      </c>
      <c r="W2">
        <v>38.299999999999997</v>
      </c>
      <c r="X2">
        <v>0.6</v>
      </c>
      <c r="Y2">
        <v>37.832000000000001</v>
      </c>
      <c r="Z2">
        <v>0</v>
      </c>
      <c r="AA2">
        <v>1</v>
      </c>
      <c r="AB2">
        <v>0</v>
      </c>
      <c r="AC2">
        <v>2</v>
      </c>
      <c r="AD2">
        <v>0</v>
      </c>
      <c r="AE2" t="s">
        <v>226</v>
      </c>
      <c r="AF2">
        <v>1</v>
      </c>
    </row>
    <row r="3" spans="1:32">
      <c r="A3">
        <v>2.2471910112359552</v>
      </c>
      <c r="B3">
        <v>1.1235955056179776</v>
      </c>
      <c r="C3">
        <v>2.7325842696629219</v>
      </c>
      <c r="D3">
        <v>12.5</v>
      </c>
      <c r="E3">
        <v>30</v>
      </c>
      <c r="F3">
        <v>80.400000000000006</v>
      </c>
      <c r="G3">
        <v>1</v>
      </c>
      <c r="H3">
        <v>0</v>
      </c>
      <c r="I3">
        <v>1</v>
      </c>
      <c r="J3">
        <v>-0.48099999999999998</v>
      </c>
      <c r="K3">
        <v>18.015000000000001</v>
      </c>
      <c r="L3">
        <v>1</v>
      </c>
      <c r="M3">
        <v>1</v>
      </c>
      <c r="N3">
        <v>0</v>
      </c>
      <c r="O3">
        <v>0</v>
      </c>
      <c r="P3">
        <v>1</v>
      </c>
      <c r="Q3">
        <v>-0.5</v>
      </c>
      <c r="R3">
        <v>148.22</v>
      </c>
      <c r="S3">
        <v>2</v>
      </c>
      <c r="T3">
        <v>3</v>
      </c>
      <c r="U3">
        <v>5</v>
      </c>
      <c r="V3">
        <v>83.1</v>
      </c>
      <c r="W3">
        <v>38.299999999999997</v>
      </c>
      <c r="X3">
        <v>0.6</v>
      </c>
      <c r="Y3">
        <v>37.832000000000001</v>
      </c>
      <c r="Z3">
        <v>0</v>
      </c>
      <c r="AA3">
        <v>1</v>
      </c>
      <c r="AB3">
        <v>0</v>
      </c>
      <c r="AC3">
        <v>2</v>
      </c>
      <c r="AD3">
        <v>0</v>
      </c>
      <c r="AE3" t="s">
        <v>226</v>
      </c>
      <c r="AF3">
        <v>1</v>
      </c>
    </row>
    <row r="4" spans="1:32">
      <c r="A4">
        <v>2.2471910112359552</v>
      </c>
      <c r="B4">
        <v>1.1235955056179776</v>
      </c>
      <c r="C4">
        <v>2.7325842696629219</v>
      </c>
      <c r="D4">
        <v>12.5</v>
      </c>
      <c r="E4">
        <v>40</v>
      </c>
      <c r="F4">
        <v>80.400000000000006</v>
      </c>
      <c r="G4">
        <v>1</v>
      </c>
      <c r="H4">
        <v>0</v>
      </c>
      <c r="I4">
        <v>1</v>
      </c>
      <c r="J4">
        <v>-0.48099999999999998</v>
      </c>
      <c r="K4">
        <v>18.015000000000001</v>
      </c>
      <c r="L4">
        <v>1</v>
      </c>
      <c r="M4">
        <v>1</v>
      </c>
      <c r="N4">
        <v>0</v>
      </c>
      <c r="O4">
        <v>0</v>
      </c>
      <c r="P4">
        <v>1</v>
      </c>
      <c r="Q4">
        <v>-0.5</v>
      </c>
      <c r="R4">
        <v>148.22</v>
      </c>
      <c r="S4">
        <v>2</v>
      </c>
      <c r="T4">
        <v>3</v>
      </c>
      <c r="U4">
        <v>5</v>
      </c>
      <c r="V4">
        <v>83.1</v>
      </c>
      <c r="W4">
        <v>38.299999999999997</v>
      </c>
      <c r="X4">
        <v>0.6</v>
      </c>
      <c r="Y4">
        <v>37.832000000000001</v>
      </c>
      <c r="Z4">
        <v>0</v>
      </c>
      <c r="AA4">
        <v>1</v>
      </c>
      <c r="AB4">
        <v>0</v>
      </c>
      <c r="AC4">
        <v>2</v>
      </c>
      <c r="AD4">
        <v>0</v>
      </c>
      <c r="AE4" t="s">
        <v>226</v>
      </c>
      <c r="AF4">
        <v>1</v>
      </c>
    </row>
    <row r="5" spans="1:32">
      <c r="A5">
        <v>2.2471910112359552</v>
      </c>
      <c r="B5">
        <v>1.1235955056179776</v>
      </c>
      <c r="C5">
        <v>2.7325842696629219</v>
      </c>
      <c r="D5">
        <v>12.5</v>
      </c>
      <c r="E5">
        <v>50</v>
      </c>
      <c r="F5">
        <v>80.400000000000006</v>
      </c>
      <c r="G5">
        <v>1</v>
      </c>
      <c r="H5">
        <v>0</v>
      </c>
      <c r="I5">
        <v>1</v>
      </c>
      <c r="J5">
        <v>-0.48099999999999998</v>
      </c>
      <c r="K5">
        <v>18.015000000000001</v>
      </c>
      <c r="L5">
        <v>1</v>
      </c>
      <c r="M5">
        <v>1</v>
      </c>
      <c r="N5">
        <v>0</v>
      </c>
      <c r="O5">
        <v>0</v>
      </c>
      <c r="P5">
        <v>1</v>
      </c>
      <c r="Q5">
        <v>-0.5</v>
      </c>
      <c r="R5">
        <v>148.22</v>
      </c>
      <c r="S5">
        <v>2</v>
      </c>
      <c r="T5">
        <v>3</v>
      </c>
      <c r="U5">
        <v>5</v>
      </c>
      <c r="V5">
        <v>83.1</v>
      </c>
      <c r="W5">
        <v>38.299999999999997</v>
      </c>
      <c r="X5">
        <v>0.6</v>
      </c>
      <c r="Y5">
        <v>37.832000000000001</v>
      </c>
      <c r="Z5">
        <v>0</v>
      </c>
      <c r="AA5">
        <v>1</v>
      </c>
      <c r="AB5">
        <v>0</v>
      </c>
      <c r="AC5">
        <v>2</v>
      </c>
      <c r="AD5">
        <v>0</v>
      </c>
      <c r="AE5" t="s">
        <v>226</v>
      </c>
      <c r="AF5">
        <v>0</v>
      </c>
    </row>
    <row r="6" spans="1:32">
      <c r="A6">
        <v>2.2471910112359552</v>
      </c>
      <c r="B6">
        <v>1.1235955056179776</v>
      </c>
      <c r="C6">
        <v>2.7325842696629219</v>
      </c>
      <c r="D6">
        <v>12.5</v>
      </c>
      <c r="E6">
        <v>60</v>
      </c>
      <c r="F6">
        <v>80.400000000000006</v>
      </c>
      <c r="G6">
        <v>1</v>
      </c>
      <c r="H6">
        <v>0</v>
      </c>
      <c r="I6">
        <v>1</v>
      </c>
      <c r="J6">
        <v>-0.48099999999999998</v>
      </c>
      <c r="K6">
        <v>18.015000000000001</v>
      </c>
      <c r="L6">
        <v>1</v>
      </c>
      <c r="M6">
        <v>1</v>
      </c>
      <c r="N6">
        <v>0</v>
      </c>
      <c r="O6">
        <v>0</v>
      </c>
      <c r="P6">
        <v>1</v>
      </c>
      <c r="Q6">
        <v>-0.5</v>
      </c>
      <c r="R6">
        <v>148.22</v>
      </c>
      <c r="S6">
        <v>2</v>
      </c>
      <c r="T6">
        <v>3</v>
      </c>
      <c r="U6">
        <v>5</v>
      </c>
      <c r="V6">
        <v>83.1</v>
      </c>
      <c r="W6">
        <v>38.299999999999997</v>
      </c>
      <c r="X6">
        <v>0.6</v>
      </c>
      <c r="Y6">
        <v>37.832000000000001</v>
      </c>
      <c r="Z6">
        <v>0</v>
      </c>
      <c r="AA6">
        <v>1</v>
      </c>
      <c r="AB6">
        <v>0</v>
      </c>
      <c r="AC6">
        <v>2</v>
      </c>
      <c r="AD6">
        <v>0</v>
      </c>
      <c r="AE6" t="s">
        <v>226</v>
      </c>
      <c r="AF6">
        <v>0</v>
      </c>
    </row>
    <row r="7" spans="1:32">
      <c r="A7">
        <v>2.1026072329688814</v>
      </c>
      <c r="B7">
        <v>1.0513036164844407</v>
      </c>
      <c r="C7">
        <v>3.2800672834314551E-2</v>
      </c>
      <c r="D7">
        <v>11.5</v>
      </c>
      <c r="E7">
        <v>22</v>
      </c>
      <c r="F7">
        <v>80.400000000000006</v>
      </c>
      <c r="G7">
        <v>0</v>
      </c>
      <c r="H7">
        <v>0</v>
      </c>
      <c r="I7">
        <v>0</v>
      </c>
      <c r="J7">
        <v>-0.48099999999999998</v>
      </c>
      <c r="K7">
        <v>18.015000000000001</v>
      </c>
      <c r="L7">
        <v>1</v>
      </c>
      <c r="M7">
        <v>1</v>
      </c>
      <c r="N7">
        <v>0</v>
      </c>
      <c r="O7">
        <v>0</v>
      </c>
      <c r="P7">
        <v>1</v>
      </c>
      <c r="Q7">
        <v>-0.5</v>
      </c>
      <c r="R7">
        <v>335.29599999999999</v>
      </c>
      <c r="S7">
        <v>4</v>
      </c>
      <c r="T7">
        <v>6</v>
      </c>
      <c r="U7">
        <v>6</v>
      </c>
      <c r="V7">
        <v>452</v>
      </c>
      <c r="W7">
        <v>121</v>
      </c>
      <c r="X7">
        <v>-1.8</v>
      </c>
      <c r="Y7">
        <v>37.832000000000001</v>
      </c>
      <c r="Z7">
        <v>0</v>
      </c>
      <c r="AA7">
        <v>1</v>
      </c>
      <c r="AB7">
        <v>0</v>
      </c>
      <c r="AC7">
        <v>2</v>
      </c>
      <c r="AD7">
        <v>0</v>
      </c>
      <c r="AE7" t="s">
        <v>226</v>
      </c>
      <c r="AF7">
        <v>1</v>
      </c>
    </row>
    <row r="8" spans="1:32">
      <c r="A8">
        <v>2.1276595744680851</v>
      </c>
      <c r="B8">
        <v>1.0638297872340425</v>
      </c>
      <c r="C8">
        <v>2.1276595744680851E-2</v>
      </c>
      <c r="D8">
        <v>11.5</v>
      </c>
      <c r="E8">
        <v>22</v>
      </c>
      <c r="F8">
        <v>80.400000000000006</v>
      </c>
      <c r="G8">
        <v>0</v>
      </c>
      <c r="H8">
        <v>0</v>
      </c>
      <c r="I8">
        <v>0</v>
      </c>
      <c r="J8">
        <v>-0.48099999999999998</v>
      </c>
      <c r="K8">
        <v>18.015000000000001</v>
      </c>
      <c r="L8">
        <v>1</v>
      </c>
      <c r="M8">
        <v>1</v>
      </c>
      <c r="N8">
        <v>0</v>
      </c>
      <c r="O8">
        <v>0</v>
      </c>
      <c r="P8">
        <v>1</v>
      </c>
      <c r="Q8">
        <v>-0.5</v>
      </c>
      <c r="R8">
        <v>335.29599999999999</v>
      </c>
      <c r="S8">
        <v>4</v>
      </c>
      <c r="T8">
        <v>6</v>
      </c>
      <c r="U8">
        <v>6</v>
      </c>
      <c r="V8">
        <v>452</v>
      </c>
      <c r="W8">
        <v>121</v>
      </c>
      <c r="X8">
        <v>-1.8</v>
      </c>
      <c r="Y8">
        <v>37.832000000000001</v>
      </c>
      <c r="Z8">
        <v>0</v>
      </c>
      <c r="AA8">
        <v>1</v>
      </c>
      <c r="AB8">
        <v>0</v>
      </c>
      <c r="AC8">
        <v>2</v>
      </c>
      <c r="AD8">
        <v>0</v>
      </c>
      <c r="AE8" t="s">
        <v>226</v>
      </c>
      <c r="AF8">
        <v>0</v>
      </c>
    </row>
    <row r="9" spans="1:32">
      <c r="A9">
        <v>2.083333333333333</v>
      </c>
      <c r="B9">
        <v>1.0416666666666665</v>
      </c>
      <c r="C9">
        <v>4.1666666666666664E-2</v>
      </c>
      <c r="D9">
        <v>11.5</v>
      </c>
      <c r="E9">
        <v>22</v>
      </c>
      <c r="F9">
        <v>80.400000000000006</v>
      </c>
      <c r="G9">
        <v>0</v>
      </c>
      <c r="H9">
        <v>0</v>
      </c>
      <c r="I9">
        <v>0</v>
      </c>
      <c r="J9">
        <v>-0.48099999999999998</v>
      </c>
      <c r="K9">
        <v>18.015000000000001</v>
      </c>
      <c r="L9">
        <v>1</v>
      </c>
      <c r="M9">
        <v>1</v>
      </c>
      <c r="N9">
        <v>0</v>
      </c>
      <c r="O9">
        <v>0</v>
      </c>
      <c r="P9">
        <v>1</v>
      </c>
      <c r="Q9">
        <v>-0.5</v>
      </c>
      <c r="R9">
        <v>335.29599999999999</v>
      </c>
      <c r="S9">
        <v>4</v>
      </c>
      <c r="T9">
        <v>6</v>
      </c>
      <c r="U9">
        <v>6</v>
      </c>
      <c r="V9">
        <v>452</v>
      </c>
      <c r="W9">
        <v>121</v>
      </c>
      <c r="X9">
        <v>-1.8</v>
      </c>
      <c r="Y9">
        <v>37.832000000000001</v>
      </c>
      <c r="Z9">
        <v>0</v>
      </c>
      <c r="AA9">
        <v>1</v>
      </c>
      <c r="AB9">
        <v>0</v>
      </c>
      <c r="AC9">
        <v>2</v>
      </c>
      <c r="AD9">
        <v>0</v>
      </c>
      <c r="AE9" t="s">
        <v>226</v>
      </c>
      <c r="AF9">
        <v>0</v>
      </c>
    </row>
    <row r="10" spans="1:32">
      <c r="A10">
        <v>2.0703933747412004</v>
      </c>
      <c r="B10">
        <v>1.0351966873706002</v>
      </c>
      <c r="C10">
        <v>4.7619047619047609E-2</v>
      </c>
      <c r="D10">
        <v>11.5</v>
      </c>
      <c r="E10">
        <v>22</v>
      </c>
      <c r="F10">
        <v>80.400000000000006</v>
      </c>
      <c r="G10">
        <v>0</v>
      </c>
      <c r="H10">
        <v>0</v>
      </c>
      <c r="I10">
        <v>0</v>
      </c>
      <c r="J10">
        <v>-0.48099999999999998</v>
      </c>
      <c r="K10">
        <v>18.015000000000001</v>
      </c>
      <c r="L10">
        <v>1</v>
      </c>
      <c r="M10">
        <v>1</v>
      </c>
      <c r="N10">
        <v>0</v>
      </c>
      <c r="O10">
        <v>0</v>
      </c>
      <c r="P10">
        <v>1</v>
      </c>
      <c r="Q10">
        <v>-0.5</v>
      </c>
      <c r="R10">
        <v>335.29599999999999</v>
      </c>
      <c r="S10">
        <v>4</v>
      </c>
      <c r="T10">
        <v>6</v>
      </c>
      <c r="U10">
        <v>6</v>
      </c>
      <c r="V10">
        <v>452</v>
      </c>
      <c r="W10">
        <v>121</v>
      </c>
      <c r="X10">
        <v>-1.8</v>
      </c>
      <c r="Y10">
        <v>37.832000000000001</v>
      </c>
      <c r="Z10">
        <v>0</v>
      </c>
      <c r="AA10">
        <v>1</v>
      </c>
      <c r="AB10">
        <v>0</v>
      </c>
      <c r="AC10">
        <v>2</v>
      </c>
      <c r="AD10">
        <v>0</v>
      </c>
      <c r="AE10" t="s">
        <v>226</v>
      </c>
      <c r="AF10">
        <v>0</v>
      </c>
    </row>
    <row r="11" spans="1:32">
      <c r="A11">
        <v>2.1276595744680851</v>
      </c>
      <c r="B11">
        <v>1.0638297872340425</v>
      </c>
      <c r="C11">
        <v>2.1276595744680851</v>
      </c>
      <c r="D11">
        <v>11.5</v>
      </c>
      <c r="E11">
        <v>22</v>
      </c>
      <c r="F11">
        <v>80.400000000000006</v>
      </c>
      <c r="G11">
        <v>0</v>
      </c>
      <c r="H11">
        <v>0</v>
      </c>
      <c r="I11">
        <v>0</v>
      </c>
      <c r="J11">
        <v>-0.48099999999999998</v>
      </c>
      <c r="K11">
        <v>18.015000000000001</v>
      </c>
      <c r="L11">
        <v>1</v>
      </c>
      <c r="M11">
        <v>1</v>
      </c>
      <c r="N11">
        <v>0</v>
      </c>
      <c r="O11">
        <v>0</v>
      </c>
      <c r="P11">
        <v>1</v>
      </c>
      <c r="Q11">
        <v>-0.5</v>
      </c>
      <c r="R11">
        <v>335.29599999999999</v>
      </c>
      <c r="S11">
        <v>4</v>
      </c>
      <c r="T11">
        <v>6</v>
      </c>
      <c r="U11">
        <v>6</v>
      </c>
      <c r="V11">
        <v>452</v>
      </c>
      <c r="W11">
        <v>121</v>
      </c>
      <c r="X11">
        <v>-1.8</v>
      </c>
      <c r="Y11">
        <v>37.832000000000001</v>
      </c>
      <c r="Z11">
        <v>0</v>
      </c>
      <c r="AA11">
        <v>1</v>
      </c>
      <c r="AB11">
        <v>0</v>
      </c>
      <c r="AC11">
        <v>2</v>
      </c>
      <c r="AD11">
        <v>0</v>
      </c>
      <c r="AE11" t="s">
        <v>226</v>
      </c>
      <c r="AF11">
        <v>0</v>
      </c>
    </row>
    <row r="12" spans="1:32">
      <c r="A12">
        <v>3.0612244897959182</v>
      </c>
      <c r="B12">
        <v>1.0204081632653061</v>
      </c>
      <c r="C12">
        <v>4.0816326530612242E-2</v>
      </c>
      <c r="D12">
        <v>11.5</v>
      </c>
      <c r="E12">
        <v>22</v>
      </c>
      <c r="F12">
        <v>80.400000000000006</v>
      </c>
      <c r="G12">
        <v>0</v>
      </c>
      <c r="H12">
        <v>0</v>
      </c>
      <c r="I12">
        <v>0</v>
      </c>
      <c r="J12">
        <v>-0.48099999999999998</v>
      </c>
      <c r="K12">
        <v>18.015000000000001</v>
      </c>
      <c r="L12">
        <v>1</v>
      </c>
      <c r="M12">
        <v>1</v>
      </c>
      <c r="N12">
        <v>0</v>
      </c>
      <c r="O12">
        <v>0</v>
      </c>
      <c r="P12">
        <v>1</v>
      </c>
      <c r="Q12">
        <v>-0.5</v>
      </c>
      <c r="R12">
        <v>335.29599999999999</v>
      </c>
      <c r="S12">
        <v>4</v>
      </c>
      <c r="T12">
        <v>6</v>
      </c>
      <c r="U12">
        <v>6</v>
      </c>
      <c r="V12">
        <v>452</v>
      </c>
      <c r="W12">
        <v>121</v>
      </c>
      <c r="X12">
        <v>-1.8</v>
      </c>
      <c r="Y12">
        <v>37.832000000000001</v>
      </c>
      <c r="Z12">
        <v>0</v>
      </c>
      <c r="AA12">
        <v>1</v>
      </c>
      <c r="AB12">
        <v>0</v>
      </c>
      <c r="AC12">
        <v>2</v>
      </c>
      <c r="AD12">
        <v>0</v>
      </c>
      <c r="AE12" t="s">
        <v>226</v>
      </c>
      <c r="AF12">
        <v>0</v>
      </c>
    </row>
    <row r="13" spans="1:32">
      <c r="A13">
        <v>2.5773195876288657</v>
      </c>
      <c r="B13">
        <v>1.0309278350515463</v>
      </c>
      <c r="C13">
        <v>4.1237113402061855E-2</v>
      </c>
      <c r="D13">
        <v>11.5</v>
      </c>
      <c r="E13">
        <v>22</v>
      </c>
      <c r="F13">
        <v>80.400000000000006</v>
      </c>
      <c r="G13">
        <v>0</v>
      </c>
      <c r="H13">
        <v>0</v>
      </c>
      <c r="I13">
        <v>0</v>
      </c>
      <c r="J13">
        <v>-0.48099999999999998</v>
      </c>
      <c r="K13">
        <v>18.015000000000001</v>
      </c>
      <c r="L13">
        <v>1</v>
      </c>
      <c r="M13">
        <v>1</v>
      </c>
      <c r="N13">
        <v>0</v>
      </c>
      <c r="O13">
        <v>0</v>
      </c>
      <c r="P13">
        <v>1</v>
      </c>
      <c r="Q13">
        <v>-0.5</v>
      </c>
      <c r="R13">
        <v>335.29599999999999</v>
      </c>
      <c r="S13">
        <v>4</v>
      </c>
      <c r="T13">
        <v>6</v>
      </c>
      <c r="U13">
        <v>6</v>
      </c>
      <c r="V13">
        <v>452</v>
      </c>
      <c r="W13">
        <v>121</v>
      </c>
      <c r="X13">
        <v>-1.8</v>
      </c>
      <c r="Y13">
        <v>37.832000000000001</v>
      </c>
      <c r="Z13">
        <v>0</v>
      </c>
      <c r="AA13">
        <v>1</v>
      </c>
      <c r="AB13">
        <v>0</v>
      </c>
      <c r="AC13">
        <v>2</v>
      </c>
      <c r="AD13">
        <v>0</v>
      </c>
      <c r="AE13" t="s">
        <v>226</v>
      </c>
      <c r="AF13">
        <v>0</v>
      </c>
    </row>
    <row r="14" spans="1:32">
      <c r="A14">
        <v>1.5789473684210524</v>
      </c>
      <c r="B14">
        <v>1.0526315789473681</v>
      </c>
      <c r="C14">
        <v>4.2105263157894729E-2</v>
      </c>
      <c r="D14">
        <v>11.5</v>
      </c>
      <c r="E14">
        <v>22</v>
      </c>
      <c r="F14">
        <v>80.400000000000006</v>
      </c>
      <c r="G14">
        <v>0</v>
      </c>
      <c r="H14">
        <v>0</v>
      </c>
      <c r="I14">
        <v>0</v>
      </c>
      <c r="J14">
        <v>-0.48099999999999998</v>
      </c>
      <c r="K14">
        <v>18.015000000000001</v>
      </c>
      <c r="L14">
        <v>1</v>
      </c>
      <c r="M14">
        <v>1</v>
      </c>
      <c r="N14">
        <v>0</v>
      </c>
      <c r="O14">
        <v>0</v>
      </c>
      <c r="P14">
        <v>1</v>
      </c>
      <c r="Q14">
        <v>-0.5</v>
      </c>
      <c r="R14">
        <v>335.29599999999999</v>
      </c>
      <c r="S14">
        <v>4</v>
      </c>
      <c r="T14">
        <v>6</v>
      </c>
      <c r="U14">
        <v>6</v>
      </c>
      <c r="V14">
        <v>452</v>
      </c>
      <c r="W14">
        <v>121</v>
      </c>
      <c r="X14">
        <v>-1.8</v>
      </c>
      <c r="Y14">
        <v>37.832000000000001</v>
      </c>
      <c r="Z14">
        <v>0</v>
      </c>
      <c r="AA14">
        <v>1</v>
      </c>
      <c r="AB14">
        <v>0</v>
      </c>
      <c r="AC14">
        <v>2</v>
      </c>
      <c r="AD14">
        <v>0</v>
      </c>
      <c r="AE14" t="s">
        <v>226</v>
      </c>
      <c r="AF14">
        <v>0</v>
      </c>
    </row>
    <row r="15" spans="1:32">
      <c r="A15">
        <v>2.083333333333333</v>
      </c>
      <c r="B15">
        <v>1.0416666666666665</v>
      </c>
      <c r="C15">
        <v>4.1666666666666664E-2</v>
      </c>
      <c r="D15">
        <v>10</v>
      </c>
      <c r="E15">
        <v>22</v>
      </c>
      <c r="F15">
        <v>80.400000000000006</v>
      </c>
      <c r="G15">
        <v>0</v>
      </c>
      <c r="H15">
        <v>0</v>
      </c>
      <c r="I15">
        <v>0</v>
      </c>
      <c r="J15">
        <v>-0.48099999999999998</v>
      </c>
      <c r="K15">
        <v>18.015000000000001</v>
      </c>
      <c r="L15">
        <v>1</v>
      </c>
      <c r="M15">
        <v>1</v>
      </c>
      <c r="N15">
        <v>0</v>
      </c>
      <c r="O15">
        <v>0</v>
      </c>
      <c r="P15">
        <v>1</v>
      </c>
      <c r="Q15">
        <v>-0.5</v>
      </c>
      <c r="R15">
        <v>335.29599999999999</v>
      </c>
      <c r="S15">
        <v>4</v>
      </c>
      <c r="T15">
        <v>6</v>
      </c>
      <c r="U15">
        <v>6</v>
      </c>
      <c r="V15">
        <v>452</v>
      </c>
      <c r="W15">
        <v>121</v>
      </c>
      <c r="X15">
        <v>-1.8</v>
      </c>
      <c r="Y15">
        <v>37.832000000000001</v>
      </c>
      <c r="Z15">
        <v>0</v>
      </c>
      <c r="AA15">
        <v>1</v>
      </c>
      <c r="AB15">
        <v>0</v>
      </c>
      <c r="AC15">
        <v>2</v>
      </c>
      <c r="AD15">
        <v>0</v>
      </c>
      <c r="AE15" t="s">
        <v>226</v>
      </c>
      <c r="AF15">
        <v>0</v>
      </c>
    </row>
    <row r="16" spans="1:32">
      <c r="A16">
        <v>2.083333333333333</v>
      </c>
      <c r="B16">
        <v>1.0416666666666665</v>
      </c>
      <c r="C16">
        <v>4.1666666666666664E-2</v>
      </c>
      <c r="D16">
        <v>11</v>
      </c>
      <c r="E16">
        <v>22</v>
      </c>
      <c r="F16">
        <v>80.400000000000006</v>
      </c>
      <c r="G16">
        <v>0</v>
      </c>
      <c r="H16">
        <v>0</v>
      </c>
      <c r="I16">
        <v>0</v>
      </c>
      <c r="J16">
        <v>-0.48099999999999998</v>
      </c>
      <c r="K16">
        <v>18.015000000000001</v>
      </c>
      <c r="L16">
        <v>1</v>
      </c>
      <c r="M16">
        <v>1</v>
      </c>
      <c r="N16">
        <v>0</v>
      </c>
      <c r="O16">
        <v>0</v>
      </c>
      <c r="P16">
        <v>1</v>
      </c>
      <c r="Q16">
        <v>-0.5</v>
      </c>
      <c r="R16">
        <v>335.29599999999999</v>
      </c>
      <c r="S16">
        <v>4</v>
      </c>
      <c r="T16">
        <v>6</v>
      </c>
      <c r="U16">
        <v>6</v>
      </c>
      <c r="V16">
        <v>452</v>
      </c>
      <c r="W16">
        <v>121</v>
      </c>
      <c r="X16">
        <v>-1.8</v>
      </c>
      <c r="Y16">
        <v>37.832000000000001</v>
      </c>
      <c r="Z16">
        <v>0</v>
      </c>
      <c r="AA16">
        <v>1</v>
      </c>
      <c r="AB16">
        <v>0</v>
      </c>
      <c r="AC16">
        <v>2</v>
      </c>
      <c r="AD16">
        <v>0</v>
      </c>
      <c r="AE16" t="s">
        <v>226</v>
      </c>
      <c r="AF16">
        <v>0</v>
      </c>
    </row>
    <row r="17" spans="1:32">
      <c r="A17">
        <v>2.083333333333333</v>
      </c>
      <c r="B17">
        <v>1.0416666666666665</v>
      </c>
      <c r="C17">
        <v>4.1666666666666664E-2</v>
      </c>
      <c r="D17">
        <v>12</v>
      </c>
      <c r="E17">
        <v>22</v>
      </c>
      <c r="F17">
        <v>80.400000000000006</v>
      </c>
      <c r="G17">
        <v>0</v>
      </c>
      <c r="H17">
        <v>0</v>
      </c>
      <c r="I17">
        <v>0</v>
      </c>
      <c r="J17">
        <v>-0.48099999999999998</v>
      </c>
      <c r="K17">
        <v>18.015000000000001</v>
      </c>
      <c r="L17">
        <v>1</v>
      </c>
      <c r="M17">
        <v>1</v>
      </c>
      <c r="N17">
        <v>0</v>
      </c>
      <c r="O17">
        <v>0</v>
      </c>
      <c r="P17">
        <v>1</v>
      </c>
      <c r="Q17">
        <v>-0.5</v>
      </c>
      <c r="R17">
        <v>335.29599999999999</v>
      </c>
      <c r="S17">
        <v>4</v>
      </c>
      <c r="T17">
        <v>6</v>
      </c>
      <c r="U17">
        <v>6</v>
      </c>
      <c r="V17">
        <v>452</v>
      </c>
      <c r="W17">
        <v>121</v>
      </c>
      <c r="X17">
        <v>-1.8</v>
      </c>
      <c r="Y17">
        <v>37.832000000000001</v>
      </c>
      <c r="Z17">
        <v>0</v>
      </c>
      <c r="AA17">
        <v>1</v>
      </c>
      <c r="AB17">
        <v>0</v>
      </c>
      <c r="AC17">
        <v>2</v>
      </c>
      <c r="AD17">
        <v>0</v>
      </c>
      <c r="AE17" t="s">
        <v>226</v>
      </c>
      <c r="AF17">
        <v>0</v>
      </c>
    </row>
    <row r="18" spans="1:32">
      <c r="A18">
        <v>2.083333333333333</v>
      </c>
      <c r="B18">
        <v>1.0416666666666665</v>
      </c>
      <c r="C18">
        <v>4.1666666666666664E-2</v>
      </c>
      <c r="D18">
        <v>12.5</v>
      </c>
      <c r="E18">
        <v>22</v>
      </c>
      <c r="F18">
        <v>80.400000000000006</v>
      </c>
      <c r="G18">
        <v>0</v>
      </c>
      <c r="H18">
        <v>0</v>
      </c>
      <c r="I18">
        <v>0</v>
      </c>
      <c r="J18">
        <v>-0.48099999999999998</v>
      </c>
      <c r="K18">
        <v>18.015000000000001</v>
      </c>
      <c r="L18">
        <v>1</v>
      </c>
      <c r="M18">
        <v>1</v>
      </c>
      <c r="N18">
        <v>0</v>
      </c>
      <c r="O18">
        <v>0</v>
      </c>
      <c r="P18">
        <v>1</v>
      </c>
      <c r="Q18">
        <v>-0.5</v>
      </c>
      <c r="R18">
        <v>335.29599999999999</v>
      </c>
      <c r="S18">
        <v>4</v>
      </c>
      <c r="T18">
        <v>6</v>
      </c>
      <c r="U18">
        <v>6</v>
      </c>
      <c r="V18">
        <v>452</v>
      </c>
      <c r="W18">
        <v>121</v>
      </c>
      <c r="X18">
        <v>-1.8</v>
      </c>
      <c r="Y18">
        <v>37.832000000000001</v>
      </c>
      <c r="Z18">
        <v>0</v>
      </c>
      <c r="AA18">
        <v>1</v>
      </c>
      <c r="AB18">
        <v>0</v>
      </c>
      <c r="AC18">
        <v>2</v>
      </c>
      <c r="AD18">
        <v>0</v>
      </c>
      <c r="AE18" t="s">
        <v>226</v>
      </c>
      <c r="AF18">
        <v>0</v>
      </c>
    </row>
    <row r="19" spans="1:32">
      <c r="A19">
        <v>2.083333333333333</v>
      </c>
      <c r="B19">
        <v>1.0416666666666665</v>
      </c>
      <c r="C19">
        <v>4.1666666666666664E-2</v>
      </c>
      <c r="D19">
        <v>12.8</v>
      </c>
      <c r="E19">
        <v>22</v>
      </c>
      <c r="F19">
        <v>80.400000000000006</v>
      </c>
      <c r="G19">
        <v>0</v>
      </c>
      <c r="H19">
        <v>0</v>
      </c>
      <c r="I19">
        <v>0</v>
      </c>
      <c r="J19">
        <v>-0.48099999999999998</v>
      </c>
      <c r="K19">
        <v>18.015000000000001</v>
      </c>
      <c r="L19">
        <v>1</v>
      </c>
      <c r="M19">
        <v>1</v>
      </c>
      <c r="N19">
        <v>0</v>
      </c>
      <c r="O19">
        <v>0</v>
      </c>
      <c r="P19">
        <v>1</v>
      </c>
      <c r="Q19">
        <v>-0.5</v>
      </c>
      <c r="R19">
        <v>335.29599999999999</v>
      </c>
      <c r="S19">
        <v>4</v>
      </c>
      <c r="T19">
        <v>6</v>
      </c>
      <c r="U19">
        <v>6</v>
      </c>
      <c r="V19">
        <v>452</v>
      </c>
      <c r="W19">
        <v>121</v>
      </c>
      <c r="X19">
        <v>-1.8</v>
      </c>
      <c r="Y19">
        <v>37.832000000000001</v>
      </c>
      <c r="Z19">
        <v>0</v>
      </c>
      <c r="AA19">
        <v>1</v>
      </c>
      <c r="AB19">
        <v>0</v>
      </c>
      <c r="AC19">
        <v>2</v>
      </c>
      <c r="AD19">
        <v>0</v>
      </c>
      <c r="AE19" t="s">
        <v>226</v>
      </c>
      <c r="AF19">
        <v>0</v>
      </c>
    </row>
    <row r="20" spans="1:32">
      <c r="A20">
        <v>2.083333333333333</v>
      </c>
      <c r="B20">
        <v>1.0416666666666665</v>
      </c>
      <c r="C20">
        <v>4.1666666666666664E-2</v>
      </c>
      <c r="D20">
        <v>11.5</v>
      </c>
      <c r="E20">
        <v>22</v>
      </c>
      <c r="F20">
        <v>80.400000000000006</v>
      </c>
      <c r="G20">
        <v>0</v>
      </c>
      <c r="H20">
        <v>0</v>
      </c>
      <c r="I20">
        <v>0</v>
      </c>
      <c r="J20">
        <v>-0.48099999999999998</v>
      </c>
      <c r="K20">
        <v>18.015000000000001</v>
      </c>
      <c r="L20">
        <v>1</v>
      </c>
      <c r="M20">
        <v>1</v>
      </c>
      <c r="N20">
        <v>0</v>
      </c>
      <c r="O20">
        <v>0</v>
      </c>
      <c r="P20">
        <v>1</v>
      </c>
      <c r="Q20">
        <v>-0.5</v>
      </c>
      <c r="R20">
        <v>154.18299999999999</v>
      </c>
      <c r="S20">
        <v>2</v>
      </c>
      <c r="T20">
        <v>3</v>
      </c>
      <c r="U20">
        <v>1</v>
      </c>
      <c r="V20">
        <v>136</v>
      </c>
      <c r="W20">
        <v>38.299999999999997</v>
      </c>
      <c r="X20">
        <v>2.2999999999999998</v>
      </c>
      <c r="Y20">
        <v>37.832000000000001</v>
      </c>
      <c r="Z20">
        <v>0</v>
      </c>
      <c r="AA20">
        <v>1</v>
      </c>
      <c r="AB20">
        <v>0</v>
      </c>
      <c r="AC20">
        <v>2</v>
      </c>
      <c r="AD20">
        <v>0</v>
      </c>
      <c r="AE20" t="s">
        <v>226</v>
      </c>
      <c r="AF20">
        <v>1</v>
      </c>
    </row>
    <row r="21" spans="1:32">
      <c r="A21">
        <v>3.0612244897959182</v>
      </c>
      <c r="B21">
        <v>1.0204081632653061</v>
      </c>
      <c r="C21">
        <v>4.0816326530612242E-2</v>
      </c>
      <c r="D21">
        <v>11.5</v>
      </c>
      <c r="E21">
        <v>22</v>
      </c>
      <c r="F21">
        <v>80.400000000000006</v>
      </c>
      <c r="G21">
        <v>0</v>
      </c>
      <c r="H21">
        <v>0</v>
      </c>
      <c r="I21">
        <v>0</v>
      </c>
      <c r="J21">
        <v>-0.48099999999999998</v>
      </c>
      <c r="K21">
        <v>18.015000000000001</v>
      </c>
      <c r="L21">
        <v>1</v>
      </c>
      <c r="M21">
        <v>1</v>
      </c>
      <c r="N21">
        <v>0</v>
      </c>
      <c r="O21">
        <v>0</v>
      </c>
      <c r="P21">
        <v>1</v>
      </c>
      <c r="Q21">
        <v>-0.5</v>
      </c>
      <c r="R21">
        <v>154.18299999999999</v>
      </c>
      <c r="S21">
        <v>2</v>
      </c>
      <c r="T21">
        <v>3</v>
      </c>
      <c r="U21">
        <v>1</v>
      </c>
      <c r="V21">
        <v>136</v>
      </c>
      <c r="W21">
        <v>38.299999999999997</v>
      </c>
      <c r="X21">
        <v>2.2999999999999998</v>
      </c>
      <c r="Y21">
        <v>37.832000000000001</v>
      </c>
      <c r="Z21">
        <v>0</v>
      </c>
      <c r="AA21">
        <v>1</v>
      </c>
      <c r="AB21">
        <v>0</v>
      </c>
      <c r="AC21">
        <v>2</v>
      </c>
      <c r="AD21">
        <v>0</v>
      </c>
      <c r="AE21" t="s">
        <v>226</v>
      </c>
      <c r="AF21">
        <v>0</v>
      </c>
    </row>
    <row r="22" spans="1:32">
      <c r="A22">
        <v>2.5773195876288657</v>
      </c>
      <c r="B22">
        <v>1.0309278350515463</v>
      </c>
      <c r="C22">
        <v>4.1237113402061855E-2</v>
      </c>
      <c r="D22">
        <v>11.5</v>
      </c>
      <c r="E22">
        <v>22</v>
      </c>
      <c r="F22">
        <v>80.400000000000006</v>
      </c>
      <c r="G22">
        <v>0</v>
      </c>
      <c r="H22">
        <v>0</v>
      </c>
      <c r="I22">
        <v>0</v>
      </c>
      <c r="J22">
        <v>-0.48099999999999998</v>
      </c>
      <c r="K22">
        <v>18.015000000000001</v>
      </c>
      <c r="L22">
        <v>1</v>
      </c>
      <c r="M22">
        <v>1</v>
      </c>
      <c r="N22">
        <v>0</v>
      </c>
      <c r="O22">
        <v>0</v>
      </c>
      <c r="P22">
        <v>1</v>
      </c>
      <c r="Q22">
        <v>-0.5</v>
      </c>
      <c r="R22">
        <v>154.18299999999999</v>
      </c>
      <c r="S22">
        <v>2</v>
      </c>
      <c r="T22">
        <v>3</v>
      </c>
      <c r="U22">
        <v>1</v>
      </c>
      <c r="V22">
        <v>136</v>
      </c>
      <c r="W22">
        <v>38.299999999999997</v>
      </c>
      <c r="X22">
        <v>2.2999999999999998</v>
      </c>
      <c r="Y22">
        <v>37.832000000000001</v>
      </c>
      <c r="Z22">
        <v>0</v>
      </c>
      <c r="AA22">
        <v>1</v>
      </c>
      <c r="AB22">
        <v>0</v>
      </c>
      <c r="AC22">
        <v>2</v>
      </c>
      <c r="AD22">
        <v>0</v>
      </c>
      <c r="AE22" t="s">
        <v>226</v>
      </c>
      <c r="AF22">
        <v>0</v>
      </c>
    </row>
    <row r="23" spans="1:32">
      <c r="A23">
        <v>1.5789473684210524</v>
      </c>
      <c r="B23">
        <v>1.0526315789473681</v>
      </c>
      <c r="C23">
        <v>4.2105263157894729E-2</v>
      </c>
      <c r="D23">
        <v>11.5</v>
      </c>
      <c r="E23">
        <v>22</v>
      </c>
      <c r="F23">
        <v>80.400000000000006</v>
      </c>
      <c r="G23">
        <v>0</v>
      </c>
      <c r="H23">
        <v>0</v>
      </c>
      <c r="I23">
        <v>0</v>
      </c>
      <c r="J23">
        <v>-0.48099999999999998</v>
      </c>
      <c r="K23">
        <v>18.015000000000001</v>
      </c>
      <c r="L23">
        <v>1</v>
      </c>
      <c r="M23">
        <v>1</v>
      </c>
      <c r="N23">
        <v>0</v>
      </c>
      <c r="O23">
        <v>0</v>
      </c>
      <c r="P23">
        <v>1</v>
      </c>
      <c r="Q23">
        <v>-0.5</v>
      </c>
      <c r="R23">
        <v>154.18299999999999</v>
      </c>
      <c r="S23">
        <v>2</v>
      </c>
      <c r="T23">
        <v>3</v>
      </c>
      <c r="U23">
        <v>1</v>
      </c>
      <c r="V23">
        <v>136</v>
      </c>
      <c r="W23">
        <v>38.299999999999997</v>
      </c>
      <c r="X23">
        <v>2.2999999999999998</v>
      </c>
      <c r="Y23">
        <v>37.832000000000001</v>
      </c>
      <c r="Z23">
        <v>0</v>
      </c>
      <c r="AA23">
        <v>1</v>
      </c>
      <c r="AB23">
        <v>0</v>
      </c>
      <c r="AC23">
        <v>2</v>
      </c>
      <c r="AD23">
        <v>0</v>
      </c>
      <c r="AE23" t="s">
        <v>226</v>
      </c>
      <c r="AF23">
        <v>0</v>
      </c>
    </row>
    <row r="24" spans="1:32">
      <c r="A24">
        <v>2.083333333333333</v>
      </c>
      <c r="B24">
        <v>1.0416666666666665</v>
      </c>
      <c r="C24">
        <v>4.1666666666666664E-2</v>
      </c>
      <c r="D24">
        <v>10</v>
      </c>
      <c r="E24">
        <v>22</v>
      </c>
      <c r="F24">
        <v>80.400000000000006</v>
      </c>
      <c r="G24">
        <v>0</v>
      </c>
      <c r="H24">
        <v>0</v>
      </c>
      <c r="I24">
        <v>0</v>
      </c>
      <c r="J24">
        <v>-0.48099999999999998</v>
      </c>
      <c r="K24">
        <v>18.015000000000001</v>
      </c>
      <c r="L24">
        <v>1</v>
      </c>
      <c r="M24">
        <v>1</v>
      </c>
      <c r="N24">
        <v>0</v>
      </c>
      <c r="O24">
        <v>0</v>
      </c>
      <c r="P24">
        <v>1</v>
      </c>
      <c r="Q24">
        <v>-0.5</v>
      </c>
      <c r="R24">
        <v>154.18299999999999</v>
      </c>
      <c r="S24">
        <v>2</v>
      </c>
      <c r="T24">
        <v>3</v>
      </c>
      <c r="U24">
        <v>1</v>
      </c>
      <c r="V24">
        <v>136</v>
      </c>
      <c r="W24">
        <v>38.299999999999997</v>
      </c>
      <c r="X24">
        <v>2.2999999999999998</v>
      </c>
      <c r="Y24">
        <v>37.832000000000001</v>
      </c>
      <c r="Z24">
        <v>0</v>
      </c>
      <c r="AA24">
        <v>1</v>
      </c>
      <c r="AB24">
        <v>0</v>
      </c>
      <c r="AC24">
        <v>2</v>
      </c>
      <c r="AD24">
        <v>0</v>
      </c>
      <c r="AE24" t="s">
        <v>226</v>
      </c>
      <c r="AF24">
        <v>0</v>
      </c>
    </row>
    <row r="25" spans="1:32">
      <c r="A25">
        <v>2.083333333333333</v>
      </c>
      <c r="B25">
        <v>1.0416666666666665</v>
      </c>
      <c r="C25">
        <v>4.1666666666666664E-2</v>
      </c>
      <c r="D25">
        <v>11</v>
      </c>
      <c r="E25">
        <v>22</v>
      </c>
      <c r="F25">
        <v>80.400000000000006</v>
      </c>
      <c r="G25">
        <v>0</v>
      </c>
      <c r="H25">
        <v>0</v>
      </c>
      <c r="I25">
        <v>0</v>
      </c>
      <c r="J25">
        <v>-0.48099999999999998</v>
      </c>
      <c r="K25">
        <v>18.015000000000001</v>
      </c>
      <c r="L25">
        <v>1</v>
      </c>
      <c r="M25">
        <v>1</v>
      </c>
      <c r="N25">
        <v>0</v>
      </c>
      <c r="O25">
        <v>0</v>
      </c>
      <c r="P25">
        <v>1</v>
      </c>
      <c r="Q25">
        <v>-0.5</v>
      </c>
      <c r="R25">
        <v>154.18299999999999</v>
      </c>
      <c r="S25">
        <v>2</v>
      </c>
      <c r="T25">
        <v>3</v>
      </c>
      <c r="U25">
        <v>1</v>
      </c>
      <c r="V25">
        <v>136</v>
      </c>
      <c r="W25">
        <v>38.299999999999997</v>
      </c>
      <c r="X25">
        <v>2.2999999999999998</v>
      </c>
      <c r="Y25">
        <v>37.832000000000001</v>
      </c>
      <c r="Z25">
        <v>0</v>
      </c>
      <c r="AA25">
        <v>1</v>
      </c>
      <c r="AB25">
        <v>0</v>
      </c>
      <c r="AC25">
        <v>2</v>
      </c>
      <c r="AD25">
        <v>0</v>
      </c>
      <c r="AE25" t="s">
        <v>226</v>
      </c>
      <c r="AF25">
        <v>0</v>
      </c>
    </row>
    <row r="26" spans="1:32">
      <c r="A26">
        <v>2.083333333333333</v>
      </c>
      <c r="B26">
        <v>1.0416666666666665</v>
      </c>
      <c r="C26">
        <v>4.1666666666666664E-2</v>
      </c>
      <c r="D26">
        <v>12</v>
      </c>
      <c r="E26">
        <v>22</v>
      </c>
      <c r="F26">
        <v>80.400000000000006</v>
      </c>
      <c r="G26">
        <v>0</v>
      </c>
      <c r="H26">
        <v>0</v>
      </c>
      <c r="I26">
        <v>0</v>
      </c>
      <c r="J26">
        <v>-0.48099999999999998</v>
      </c>
      <c r="K26">
        <v>18.015000000000001</v>
      </c>
      <c r="L26">
        <v>1</v>
      </c>
      <c r="M26">
        <v>1</v>
      </c>
      <c r="N26">
        <v>0</v>
      </c>
      <c r="O26">
        <v>0</v>
      </c>
      <c r="P26">
        <v>1</v>
      </c>
      <c r="Q26">
        <v>-0.5</v>
      </c>
      <c r="R26">
        <v>154.18299999999999</v>
      </c>
      <c r="S26">
        <v>2</v>
      </c>
      <c r="T26">
        <v>3</v>
      </c>
      <c r="U26">
        <v>1</v>
      </c>
      <c r="V26">
        <v>136</v>
      </c>
      <c r="W26">
        <v>38.299999999999997</v>
      </c>
      <c r="X26">
        <v>2.2999999999999998</v>
      </c>
      <c r="Y26">
        <v>37.832000000000001</v>
      </c>
      <c r="Z26">
        <v>0</v>
      </c>
      <c r="AA26">
        <v>1</v>
      </c>
      <c r="AB26">
        <v>0</v>
      </c>
      <c r="AC26">
        <v>2</v>
      </c>
      <c r="AD26">
        <v>0</v>
      </c>
      <c r="AE26" t="s">
        <v>226</v>
      </c>
      <c r="AF26">
        <v>0</v>
      </c>
    </row>
    <row r="27" spans="1:32">
      <c r="A27">
        <v>2.083333333333333</v>
      </c>
      <c r="B27">
        <v>1.0416666666666665</v>
      </c>
      <c r="C27">
        <v>4.1666666666666664E-2</v>
      </c>
      <c r="D27">
        <v>12.5</v>
      </c>
      <c r="E27">
        <v>22</v>
      </c>
      <c r="F27">
        <v>80.400000000000006</v>
      </c>
      <c r="G27">
        <v>0</v>
      </c>
      <c r="H27">
        <v>0</v>
      </c>
      <c r="I27">
        <v>0</v>
      </c>
      <c r="J27">
        <v>-0.48099999999999998</v>
      </c>
      <c r="K27">
        <v>18.015000000000001</v>
      </c>
      <c r="L27">
        <v>1</v>
      </c>
      <c r="M27">
        <v>1</v>
      </c>
      <c r="N27">
        <v>0</v>
      </c>
      <c r="O27">
        <v>0</v>
      </c>
      <c r="P27">
        <v>1</v>
      </c>
      <c r="Q27">
        <v>-0.5</v>
      </c>
      <c r="R27">
        <v>154.18299999999999</v>
      </c>
      <c r="S27">
        <v>2</v>
      </c>
      <c r="T27">
        <v>3</v>
      </c>
      <c r="U27">
        <v>1</v>
      </c>
      <c r="V27">
        <v>136</v>
      </c>
      <c r="W27">
        <v>38.299999999999997</v>
      </c>
      <c r="X27">
        <v>2.2999999999999998</v>
      </c>
      <c r="Y27">
        <v>37.832000000000001</v>
      </c>
      <c r="Z27">
        <v>0</v>
      </c>
      <c r="AA27">
        <v>1</v>
      </c>
      <c r="AB27">
        <v>0</v>
      </c>
      <c r="AC27">
        <v>2</v>
      </c>
      <c r="AD27">
        <v>0</v>
      </c>
      <c r="AE27" t="s">
        <v>226</v>
      </c>
      <c r="AF27">
        <v>0</v>
      </c>
    </row>
    <row r="28" spans="1:32">
      <c r="A28">
        <v>2.083333333333333</v>
      </c>
      <c r="B28">
        <v>1.0416666666666665</v>
      </c>
      <c r="C28">
        <v>4.1666666666666664E-2</v>
      </c>
      <c r="D28">
        <v>12.8</v>
      </c>
      <c r="E28">
        <v>22</v>
      </c>
      <c r="F28">
        <v>80.400000000000006</v>
      </c>
      <c r="G28">
        <v>0</v>
      </c>
      <c r="H28">
        <v>0</v>
      </c>
      <c r="I28">
        <v>0</v>
      </c>
      <c r="J28">
        <v>-0.48099999999999998</v>
      </c>
      <c r="K28">
        <v>18.015000000000001</v>
      </c>
      <c r="L28">
        <v>1</v>
      </c>
      <c r="M28">
        <v>1</v>
      </c>
      <c r="N28">
        <v>0</v>
      </c>
      <c r="O28">
        <v>0</v>
      </c>
      <c r="P28">
        <v>1</v>
      </c>
      <c r="Q28">
        <v>-0.5</v>
      </c>
      <c r="R28">
        <v>154.18299999999999</v>
      </c>
      <c r="S28">
        <v>2</v>
      </c>
      <c r="T28">
        <v>3</v>
      </c>
      <c r="U28">
        <v>1</v>
      </c>
      <c r="V28">
        <v>136</v>
      </c>
      <c r="W28">
        <v>38.299999999999997</v>
      </c>
      <c r="X28">
        <v>2.2999999999999998</v>
      </c>
      <c r="Y28">
        <v>37.832000000000001</v>
      </c>
      <c r="Z28">
        <v>0</v>
      </c>
      <c r="AA28">
        <v>1</v>
      </c>
      <c r="AB28">
        <v>0</v>
      </c>
      <c r="AC28">
        <v>2</v>
      </c>
      <c r="AD28">
        <v>0</v>
      </c>
      <c r="AE28" t="s">
        <v>226</v>
      </c>
      <c r="AF28">
        <v>0</v>
      </c>
    </row>
    <row r="29" spans="1:32">
      <c r="A29">
        <v>30</v>
      </c>
      <c r="B29">
        <v>30</v>
      </c>
      <c r="C29">
        <v>400</v>
      </c>
      <c r="D29">
        <v>7</v>
      </c>
      <c r="E29">
        <v>0</v>
      </c>
      <c r="F29">
        <v>2.4</v>
      </c>
      <c r="G29">
        <v>1</v>
      </c>
      <c r="H29">
        <v>1</v>
      </c>
      <c r="I29">
        <v>1</v>
      </c>
      <c r="J29">
        <v>-0.48099999999999998</v>
      </c>
      <c r="K29">
        <v>92.14</v>
      </c>
      <c r="L29">
        <v>0</v>
      </c>
      <c r="M29">
        <v>0</v>
      </c>
      <c r="N29">
        <v>0</v>
      </c>
      <c r="O29">
        <v>42</v>
      </c>
      <c r="P29">
        <v>0</v>
      </c>
      <c r="Q29">
        <v>2.7</v>
      </c>
      <c r="R29">
        <v>138.22800000000001</v>
      </c>
      <c r="S29">
        <v>1</v>
      </c>
      <c r="T29">
        <v>1</v>
      </c>
      <c r="U29">
        <v>2</v>
      </c>
      <c r="V29">
        <v>65</v>
      </c>
      <c r="W29">
        <v>1</v>
      </c>
      <c r="X29">
        <v>2.6</v>
      </c>
      <c r="Y29">
        <v>37.832000000000001</v>
      </c>
      <c r="Z29">
        <v>0</v>
      </c>
      <c r="AA29">
        <v>1</v>
      </c>
      <c r="AB29">
        <v>0</v>
      </c>
      <c r="AC29">
        <v>2</v>
      </c>
      <c r="AD29">
        <v>0</v>
      </c>
      <c r="AE29" t="s">
        <v>226</v>
      </c>
      <c r="AF29">
        <v>1</v>
      </c>
    </row>
    <row r="30" spans="1:32">
      <c r="A30">
        <v>150.83251714005877</v>
      </c>
      <c r="B30">
        <v>25.07345739471107</v>
      </c>
      <c r="C30">
        <v>209.66420966420966</v>
      </c>
      <c r="D30">
        <v>7</v>
      </c>
      <c r="E30">
        <v>25</v>
      </c>
      <c r="F30">
        <v>7.4</v>
      </c>
      <c r="G30">
        <v>1</v>
      </c>
      <c r="H30">
        <v>1</v>
      </c>
      <c r="I30">
        <v>1</v>
      </c>
      <c r="J30">
        <v>-0.48099999999999998</v>
      </c>
      <c r="K30">
        <v>72.106999999999999</v>
      </c>
      <c r="L30">
        <v>0</v>
      </c>
      <c r="M30">
        <v>1</v>
      </c>
      <c r="N30">
        <v>0</v>
      </c>
      <c r="O30">
        <v>22.8</v>
      </c>
      <c r="P30">
        <v>9.1999999999999993</v>
      </c>
      <c r="Q30">
        <v>0.5</v>
      </c>
      <c r="R30">
        <v>138.22800000000001</v>
      </c>
      <c r="S30">
        <v>1</v>
      </c>
      <c r="T30">
        <v>1</v>
      </c>
      <c r="U30">
        <v>2</v>
      </c>
      <c r="V30">
        <v>65</v>
      </c>
      <c r="W30">
        <v>1</v>
      </c>
      <c r="X30">
        <v>2.6</v>
      </c>
      <c r="Y30">
        <v>37.832000000000001</v>
      </c>
      <c r="Z30">
        <v>0</v>
      </c>
      <c r="AA30">
        <v>1</v>
      </c>
      <c r="AB30">
        <v>0</v>
      </c>
      <c r="AC30">
        <v>2</v>
      </c>
      <c r="AD30">
        <v>0</v>
      </c>
      <c r="AE30" t="s">
        <v>226</v>
      </c>
      <c r="AF30">
        <v>1</v>
      </c>
    </row>
    <row r="31" spans="1:32">
      <c r="A31">
        <v>200</v>
      </c>
      <c r="B31">
        <v>40</v>
      </c>
      <c r="C31">
        <v>133.33333333333334</v>
      </c>
      <c r="D31">
        <v>7</v>
      </c>
      <c r="E31">
        <v>25</v>
      </c>
      <c r="F31">
        <v>32.6</v>
      </c>
      <c r="G31">
        <v>1</v>
      </c>
      <c r="H31">
        <v>0</v>
      </c>
      <c r="I31">
        <v>1</v>
      </c>
      <c r="J31">
        <v>-0.48099999999999998</v>
      </c>
      <c r="K31">
        <v>32.042000000000002</v>
      </c>
      <c r="L31">
        <v>1</v>
      </c>
      <c r="M31">
        <v>1</v>
      </c>
      <c r="N31">
        <v>0</v>
      </c>
      <c r="O31">
        <v>2</v>
      </c>
      <c r="P31">
        <v>20.2</v>
      </c>
      <c r="Q31">
        <v>-0.5</v>
      </c>
      <c r="R31">
        <v>217.28299999999999</v>
      </c>
      <c r="S31">
        <v>2</v>
      </c>
      <c r="T31">
        <v>4</v>
      </c>
      <c r="U31">
        <v>3</v>
      </c>
      <c r="V31">
        <v>244</v>
      </c>
      <c r="W31">
        <v>58.6</v>
      </c>
      <c r="X31">
        <v>0.3</v>
      </c>
      <c r="Y31">
        <v>37.832000000000001</v>
      </c>
      <c r="Z31">
        <v>0</v>
      </c>
      <c r="AA31">
        <v>1</v>
      </c>
      <c r="AB31">
        <v>0</v>
      </c>
      <c r="AC31">
        <v>2</v>
      </c>
      <c r="AD31">
        <v>0</v>
      </c>
      <c r="AE31" t="s">
        <v>226</v>
      </c>
      <c r="AF31">
        <v>0</v>
      </c>
    </row>
    <row r="32" spans="1:32">
      <c r="A32">
        <v>3</v>
      </c>
      <c r="B32">
        <v>9</v>
      </c>
      <c r="C32">
        <v>4.5</v>
      </c>
      <c r="D32">
        <v>7</v>
      </c>
      <c r="E32">
        <v>4</v>
      </c>
      <c r="F32">
        <v>32.6</v>
      </c>
      <c r="G32">
        <v>0</v>
      </c>
      <c r="H32">
        <v>0</v>
      </c>
      <c r="I32">
        <v>0</v>
      </c>
      <c r="J32">
        <v>-0.48099999999999998</v>
      </c>
      <c r="K32">
        <v>32.042000000000002</v>
      </c>
      <c r="L32">
        <v>1</v>
      </c>
      <c r="M32">
        <v>1</v>
      </c>
      <c r="N32">
        <v>0</v>
      </c>
      <c r="O32">
        <v>2</v>
      </c>
      <c r="P32">
        <v>20.2</v>
      </c>
      <c r="Q32">
        <v>-0.5</v>
      </c>
      <c r="R32">
        <v>335.29599999999999</v>
      </c>
      <c r="S32">
        <v>4</v>
      </c>
      <c r="T32">
        <v>6</v>
      </c>
      <c r="U32">
        <v>6</v>
      </c>
      <c r="V32">
        <v>452</v>
      </c>
      <c r="W32">
        <v>121</v>
      </c>
      <c r="X32">
        <v>-1.8</v>
      </c>
      <c r="Y32">
        <v>37.832000000000001</v>
      </c>
      <c r="Z32">
        <v>0</v>
      </c>
      <c r="AA32">
        <v>1</v>
      </c>
      <c r="AB32">
        <v>0</v>
      </c>
      <c r="AC32">
        <v>2</v>
      </c>
      <c r="AD32">
        <v>0</v>
      </c>
      <c r="AE32" t="s">
        <v>226</v>
      </c>
      <c r="AF32">
        <v>0</v>
      </c>
    </row>
    <row r="33" spans="1:32">
      <c r="A33">
        <v>2</v>
      </c>
      <c r="B33">
        <v>1</v>
      </c>
      <c r="C33">
        <v>0</v>
      </c>
      <c r="D33">
        <v>11</v>
      </c>
      <c r="E33">
        <v>25</v>
      </c>
      <c r="F33">
        <v>31.6</v>
      </c>
      <c r="G33">
        <v>0</v>
      </c>
      <c r="H33">
        <v>0</v>
      </c>
      <c r="I33">
        <v>0</v>
      </c>
      <c r="J33">
        <v>-0.52</v>
      </c>
      <c r="K33">
        <v>35.045999999999999</v>
      </c>
      <c r="L33">
        <v>2</v>
      </c>
      <c r="M33">
        <v>1</v>
      </c>
      <c r="N33">
        <v>0</v>
      </c>
      <c r="O33">
        <v>0</v>
      </c>
      <c r="P33">
        <v>2</v>
      </c>
      <c r="Q33" t="s">
        <v>226</v>
      </c>
      <c r="R33">
        <v>335.29599999999999</v>
      </c>
      <c r="S33">
        <v>4</v>
      </c>
      <c r="T33">
        <v>6</v>
      </c>
      <c r="U33">
        <v>6</v>
      </c>
      <c r="V33">
        <v>452</v>
      </c>
      <c r="W33">
        <v>121</v>
      </c>
      <c r="X33">
        <v>-1.8</v>
      </c>
      <c r="Y33">
        <v>28.01</v>
      </c>
      <c r="Z33">
        <v>0</v>
      </c>
      <c r="AA33">
        <v>1</v>
      </c>
      <c r="AB33">
        <v>0</v>
      </c>
      <c r="AC33">
        <v>10</v>
      </c>
      <c r="AD33">
        <v>1</v>
      </c>
      <c r="AE33">
        <v>0.7</v>
      </c>
      <c r="AF33">
        <v>0</v>
      </c>
    </row>
    <row r="34" spans="1:32">
      <c r="A34">
        <v>85.75</v>
      </c>
      <c r="B34">
        <v>31.75</v>
      </c>
      <c r="C34">
        <v>85.875</v>
      </c>
      <c r="D34">
        <v>7</v>
      </c>
      <c r="E34">
        <v>25</v>
      </c>
      <c r="F34">
        <v>2.4</v>
      </c>
      <c r="G34">
        <v>1</v>
      </c>
      <c r="H34">
        <v>1</v>
      </c>
      <c r="I34">
        <v>0</v>
      </c>
      <c r="J34">
        <v>-0.48099999999999998</v>
      </c>
      <c r="K34">
        <v>92.14</v>
      </c>
      <c r="L34">
        <v>0</v>
      </c>
      <c r="M34">
        <v>0</v>
      </c>
      <c r="N34">
        <v>0</v>
      </c>
      <c r="O34">
        <v>42</v>
      </c>
      <c r="P34">
        <v>0</v>
      </c>
      <c r="Q34">
        <v>2.7</v>
      </c>
      <c r="R34">
        <v>262.29199999999997</v>
      </c>
      <c r="S34">
        <v>0</v>
      </c>
      <c r="T34">
        <v>0</v>
      </c>
      <c r="U34">
        <v>3</v>
      </c>
      <c r="V34">
        <v>202</v>
      </c>
      <c r="W34">
        <v>0</v>
      </c>
      <c r="X34">
        <v>4.5999999999999996</v>
      </c>
      <c r="Y34">
        <v>37.832000000000001</v>
      </c>
      <c r="Z34">
        <v>0</v>
      </c>
      <c r="AA34">
        <v>1</v>
      </c>
      <c r="AB34">
        <v>0</v>
      </c>
      <c r="AC34">
        <v>2</v>
      </c>
      <c r="AD34">
        <v>0</v>
      </c>
      <c r="AE34" t="s">
        <v>226</v>
      </c>
      <c r="AF34">
        <v>1</v>
      </c>
    </row>
    <row r="35" spans="1:32">
      <c r="A35">
        <v>800</v>
      </c>
      <c r="B35">
        <v>200</v>
      </c>
      <c r="C35">
        <v>1000</v>
      </c>
      <c r="D35">
        <v>7</v>
      </c>
      <c r="E35">
        <v>25</v>
      </c>
      <c r="F35">
        <v>2.4</v>
      </c>
      <c r="G35">
        <v>1</v>
      </c>
      <c r="H35">
        <v>1</v>
      </c>
      <c r="I35">
        <v>0</v>
      </c>
      <c r="J35">
        <v>-0.48099999999999998</v>
      </c>
      <c r="K35">
        <v>92.14</v>
      </c>
      <c r="L35">
        <v>0</v>
      </c>
      <c r="M35">
        <v>0</v>
      </c>
      <c r="N35">
        <v>0</v>
      </c>
      <c r="O35">
        <v>42</v>
      </c>
      <c r="P35">
        <v>0</v>
      </c>
      <c r="Q35">
        <v>2.7</v>
      </c>
      <c r="R35">
        <v>124.20099999999999</v>
      </c>
      <c r="S35">
        <v>1</v>
      </c>
      <c r="T35">
        <v>1</v>
      </c>
      <c r="U35">
        <v>0</v>
      </c>
      <c r="V35">
        <v>62.8</v>
      </c>
      <c r="W35">
        <v>1</v>
      </c>
      <c r="X35">
        <v>2.9</v>
      </c>
      <c r="Y35">
        <v>37.832000000000001</v>
      </c>
      <c r="Z35">
        <v>0</v>
      </c>
      <c r="AA35">
        <v>1</v>
      </c>
      <c r="AB35">
        <v>0</v>
      </c>
      <c r="AC35">
        <v>2</v>
      </c>
      <c r="AD35">
        <v>0</v>
      </c>
      <c r="AE35" t="s">
        <v>226</v>
      </c>
      <c r="AF35">
        <v>1</v>
      </c>
    </row>
    <row r="36" spans="1:32">
      <c r="A36">
        <v>2</v>
      </c>
      <c r="B36">
        <v>1</v>
      </c>
      <c r="C36">
        <v>2</v>
      </c>
      <c r="D36">
        <v>11</v>
      </c>
      <c r="E36">
        <v>25</v>
      </c>
      <c r="F36">
        <v>80.400000000000006</v>
      </c>
      <c r="G36">
        <v>1</v>
      </c>
      <c r="H36">
        <v>0</v>
      </c>
      <c r="I36">
        <v>1</v>
      </c>
      <c r="J36">
        <v>-0.48099999999999998</v>
      </c>
      <c r="K36">
        <v>18.015000000000001</v>
      </c>
      <c r="L36">
        <v>1</v>
      </c>
      <c r="M36">
        <v>1</v>
      </c>
      <c r="N36">
        <v>0</v>
      </c>
      <c r="O36">
        <v>0</v>
      </c>
      <c r="P36">
        <v>1</v>
      </c>
      <c r="Q36">
        <v>-0.5</v>
      </c>
      <c r="R36">
        <v>106.139</v>
      </c>
      <c r="S36">
        <v>2</v>
      </c>
      <c r="T36">
        <v>3</v>
      </c>
      <c r="U36">
        <v>2</v>
      </c>
      <c r="V36">
        <v>52.8</v>
      </c>
      <c r="W36">
        <v>38.299999999999997</v>
      </c>
      <c r="X36">
        <v>0.4</v>
      </c>
      <c r="Y36">
        <v>37.832000000000001</v>
      </c>
      <c r="Z36">
        <v>0</v>
      </c>
      <c r="AA36">
        <v>1</v>
      </c>
      <c r="AB36">
        <v>0</v>
      </c>
      <c r="AC36">
        <v>2</v>
      </c>
      <c r="AD36">
        <v>0</v>
      </c>
      <c r="AE36" t="s">
        <v>226</v>
      </c>
      <c r="AF36">
        <v>1</v>
      </c>
    </row>
    <row r="37" spans="1:32">
      <c r="A37">
        <v>2</v>
      </c>
      <c r="B37">
        <v>1</v>
      </c>
      <c r="C37">
        <v>2</v>
      </c>
      <c r="D37">
        <v>11</v>
      </c>
      <c r="E37">
        <v>25</v>
      </c>
      <c r="F37">
        <v>80.400000000000006</v>
      </c>
      <c r="G37">
        <v>1</v>
      </c>
      <c r="H37">
        <v>0</v>
      </c>
      <c r="I37">
        <v>1</v>
      </c>
      <c r="J37">
        <v>-0.48099999999999998</v>
      </c>
      <c r="K37">
        <v>18.015000000000001</v>
      </c>
      <c r="L37">
        <v>1</v>
      </c>
      <c r="M37">
        <v>1</v>
      </c>
      <c r="N37">
        <v>0</v>
      </c>
      <c r="O37">
        <v>0</v>
      </c>
      <c r="P37">
        <v>1</v>
      </c>
      <c r="Q37">
        <v>-0.5</v>
      </c>
      <c r="R37">
        <v>121.154</v>
      </c>
      <c r="S37">
        <v>3</v>
      </c>
      <c r="T37">
        <v>4</v>
      </c>
      <c r="U37">
        <v>2</v>
      </c>
      <c r="V37">
        <v>75.3</v>
      </c>
      <c r="W37">
        <v>64.3</v>
      </c>
      <c r="X37">
        <v>-2.5</v>
      </c>
      <c r="Y37">
        <v>37.832000000000001</v>
      </c>
      <c r="Z37">
        <v>0</v>
      </c>
      <c r="AA37">
        <v>1</v>
      </c>
      <c r="AB37">
        <v>0</v>
      </c>
      <c r="AC37">
        <v>2</v>
      </c>
      <c r="AD37">
        <v>0</v>
      </c>
      <c r="AE37" t="s">
        <v>226</v>
      </c>
      <c r="AF37">
        <v>1</v>
      </c>
    </row>
    <row r="38" spans="1:32">
      <c r="A38">
        <v>2</v>
      </c>
      <c r="B38">
        <v>1</v>
      </c>
      <c r="C38">
        <v>2</v>
      </c>
      <c r="D38">
        <v>11</v>
      </c>
      <c r="E38">
        <v>25</v>
      </c>
      <c r="F38">
        <v>80.400000000000006</v>
      </c>
      <c r="G38">
        <v>1</v>
      </c>
      <c r="H38">
        <v>0</v>
      </c>
      <c r="I38">
        <v>1</v>
      </c>
      <c r="J38">
        <v>-0.48099999999999998</v>
      </c>
      <c r="K38">
        <v>18.015000000000001</v>
      </c>
      <c r="L38">
        <v>1</v>
      </c>
      <c r="M38">
        <v>1</v>
      </c>
      <c r="N38">
        <v>0</v>
      </c>
      <c r="O38">
        <v>0</v>
      </c>
      <c r="P38">
        <v>1</v>
      </c>
      <c r="Q38">
        <v>-0.5</v>
      </c>
      <c r="R38">
        <v>135.18100000000001</v>
      </c>
      <c r="S38">
        <v>3</v>
      </c>
      <c r="T38">
        <v>4</v>
      </c>
      <c r="U38">
        <v>3</v>
      </c>
      <c r="V38">
        <v>86.1</v>
      </c>
      <c r="W38">
        <v>64.3</v>
      </c>
      <c r="X38">
        <v>-3.4</v>
      </c>
      <c r="Y38">
        <v>37.832000000000001</v>
      </c>
      <c r="Z38">
        <v>0</v>
      </c>
      <c r="AA38">
        <v>1</v>
      </c>
      <c r="AB38">
        <v>0</v>
      </c>
      <c r="AC38">
        <v>2</v>
      </c>
      <c r="AD38">
        <v>0</v>
      </c>
      <c r="AE38" t="s">
        <v>226</v>
      </c>
      <c r="AF38">
        <v>1</v>
      </c>
    </row>
    <row r="39" spans="1:32">
      <c r="A39">
        <v>2</v>
      </c>
      <c r="B39">
        <v>1</v>
      </c>
      <c r="C39">
        <v>0</v>
      </c>
      <c r="D39">
        <v>12</v>
      </c>
      <c r="E39">
        <v>25</v>
      </c>
      <c r="F39">
        <v>80.400000000000006</v>
      </c>
      <c r="G39">
        <v>1</v>
      </c>
      <c r="H39">
        <v>0</v>
      </c>
      <c r="I39">
        <v>1</v>
      </c>
      <c r="J39">
        <v>-0.52</v>
      </c>
      <c r="K39">
        <v>18.015000000000001</v>
      </c>
      <c r="L39">
        <v>1</v>
      </c>
      <c r="M39">
        <v>1</v>
      </c>
      <c r="N39">
        <v>0</v>
      </c>
      <c r="O39">
        <v>0</v>
      </c>
      <c r="P39">
        <v>1</v>
      </c>
      <c r="Q39">
        <v>-0.5</v>
      </c>
      <c r="R39">
        <v>106.139</v>
      </c>
      <c r="S39">
        <v>2</v>
      </c>
      <c r="T39">
        <v>3</v>
      </c>
      <c r="U39">
        <v>2</v>
      </c>
      <c r="V39">
        <v>52.8</v>
      </c>
      <c r="W39">
        <v>38.299999999999997</v>
      </c>
      <c r="X39">
        <v>0.4</v>
      </c>
      <c r="Y39">
        <v>28.01</v>
      </c>
      <c r="Z39">
        <v>0</v>
      </c>
      <c r="AA39">
        <v>1</v>
      </c>
      <c r="AB39">
        <v>0</v>
      </c>
      <c r="AC39">
        <v>10</v>
      </c>
      <c r="AD39">
        <v>1</v>
      </c>
      <c r="AE39">
        <v>0.7</v>
      </c>
      <c r="AF39">
        <v>1</v>
      </c>
    </row>
    <row r="40" spans="1:32">
      <c r="A40">
        <v>2</v>
      </c>
      <c r="B40">
        <v>1</v>
      </c>
      <c r="C40">
        <v>0</v>
      </c>
      <c r="D40">
        <v>12</v>
      </c>
      <c r="E40">
        <v>25</v>
      </c>
      <c r="F40">
        <v>80.400000000000006</v>
      </c>
      <c r="G40">
        <v>1</v>
      </c>
      <c r="H40">
        <v>0</v>
      </c>
      <c r="I40">
        <v>1</v>
      </c>
      <c r="J40">
        <v>-0.52</v>
      </c>
      <c r="K40">
        <v>18.015000000000001</v>
      </c>
      <c r="L40">
        <v>1</v>
      </c>
      <c r="M40">
        <v>1</v>
      </c>
      <c r="N40">
        <v>0</v>
      </c>
      <c r="O40">
        <v>0</v>
      </c>
      <c r="P40">
        <v>1</v>
      </c>
      <c r="Q40">
        <v>-0.5</v>
      </c>
      <c r="R40">
        <v>148.22</v>
      </c>
      <c r="S40">
        <v>2</v>
      </c>
      <c r="T40">
        <v>3</v>
      </c>
      <c r="U40">
        <v>5</v>
      </c>
      <c r="V40">
        <v>83.1</v>
      </c>
      <c r="W40">
        <v>38.299999999999997</v>
      </c>
      <c r="X40">
        <v>0.6</v>
      </c>
      <c r="Y40">
        <v>28.01</v>
      </c>
      <c r="Z40">
        <v>0</v>
      </c>
      <c r="AA40">
        <v>1</v>
      </c>
      <c r="AB40">
        <v>0</v>
      </c>
      <c r="AC40">
        <v>10</v>
      </c>
      <c r="AD40">
        <v>1</v>
      </c>
      <c r="AE40">
        <v>0.7</v>
      </c>
      <c r="AF40">
        <v>1</v>
      </c>
    </row>
    <row r="41" spans="1:32">
      <c r="A41">
        <v>625</v>
      </c>
      <c r="B41">
        <v>125</v>
      </c>
      <c r="C41">
        <v>250</v>
      </c>
      <c r="D41">
        <v>7</v>
      </c>
      <c r="E41">
        <v>25</v>
      </c>
      <c r="F41">
        <v>7.4</v>
      </c>
      <c r="G41">
        <v>1</v>
      </c>
      <c r="H41">
        <v>1</v>
      </c>
      <c r="I41">
        <v>1</v>
      </c>
      <c r="J41">
        <v>-0.48099999999999998</v>
      </c>
      <c r="K41">
        <v>72.106999999999999</v>
      </c>
      <c r="L41">
        <v>0</v>
      </c>
      <c r="M41">
        <v>1</v>
      </c>
      <c r="N41">
        <v>0</v>
      </c>
      <c r="O41">
        <v>22.8</v>
      </c>
      <c r="P41">
        <v>9.1999999999999993</v>
      </c>
      <c r="Q41">
        <v>0.5</v>
      </c>
      <c r="R41">
        <v>116.066</v>
      </c>
      <c r="S41">
        <v>1</v>
      </c>
      <c r="T41">
        <v>1</v>
      </c>
      <c r="U41">
        <v>0</v>
      </c>
      <c r="V41">
        <v>46.1</v>
      </c>
      <c r="W41">
        <v>1</v>
      </c>
      <c r="X41">
        <v>2.7</v>
      </c>
      <c r="Y41">
        <v>37.832000000000001</v>
      </c>
      <c r="Z41">
        <v>0</v>
      </c>
      <c r="AA41">
        <v>1</v>
      </c>
      <c r="AB41">
        <v>0</v>
      </c>
      <c r="AC41">
        <v>2</v>
      </c>
      <c r="AD41">
        <v>0</v>
      </c>
      <c r="AE41" t="s">
        <v>226</v>
      </c>
      <c r="AF41">
        <v>0</v>
      </c>
    </row>
    <row r="42" spans="1:32">
      <c r="A42">
        <v>100</v>
      </c>
      <c r="B42">
        <v>25</v>
      </c>
      <c r="C42">
        <v>833.33333333333337</v>
      </c>
      <c r="D42">
        <v>7</v>
      </c>
      <c r="E42">
        <v>0</v>
      </c>
      <c r="F42">
        <v>20.7</v>
      </c>
      <c r="G42">
        <v>1</v>
      </c>
      <c r="H42">
        <v>0</v>
      </c>
      <c r="I42">
        <v>1</v>
      </c>
      <c r="J42">
        <v>-0.48099999999999998</v>
      </c>
      <c r="K42">
        <v>58.08</v>
      </c>
      <c r="L42">
        <v>0</v>
      </c>
      <c r="M42">
        <v>1</v>
      </c>
      <c r="N42">
        <v>0</v>
      </c>
      <c r="O42">
        <v>26.3</v>
      </c>
      <c r="P42">
        <v>17.100000000000001</v>
      </c>
      <c r="Q42">
        <v>-0.1</v>
      </c>
      <c r="R42">
        <v>307.32100000000003</v>
      </c>
      <c r="S42">
        <v>6</v>
      </c>
      <c r="T42">
        <v>8</v>
      </c>
      <c r="U42">
        <v>9</v>
      </c>
      <c r="V42">
        <v>389</v>
      </c>
      <c r="W42">
        <v>160</v>
      </c>
      <c r="X42">
        <v>-4.5</v>
      </c>
      <c r="Y42">
        <v>37.832000000000001</v>
      </c>
      <c r="Z42">
        <v>0</v>
      </c>
      <c r="AA42">
        <v>1</v>
      </c>
      <c r="AB42">
        <v>0</v>
      </c>
      <c r="AC42">
        <v>2</v>
      </c>
      <c r="AD42">
        <v>0</v>
      </c>
      <c r="AE42" t="s">
        <v>226</v>
      </c>
      <c r="AF42">
        <v>1</v>
      </c>
    </row>
    <row r="43" spans="1:32">
      <c r="A43">
        <v>2</v>
      </c>
      <c r="B43">
        <v>1</v>
      </c>
      <c r="C43">
        <v>0</v>
      </c>
      <c r="D43">
        <v>7</v>
      </c>
      <c r="E43">
        <v>25</v>
      </c>
      <c r="F43">
        <v>80.400000000000006</v>
      </c>
      <c r="G43">
        <v>1</v>
      </c>
      <c r="H43">
        <v>0</v>
      </c>
      <c r="I43">
        <v>1</v>
      </c>
      <c r="J43">
        <v>-0.52</v>
      </c>
      <c r="K43">
        <v>18.015000000000001</v>
      </c>
      <c r="L43">
        <v>1</v>
      </c>
      <c r="M43">
        <v>1</v>
      </c>
      <c r="N43">
        <v>0</v>
      </c>
      <c r="O43">
        <v>0</v>
      </c>
      <c r="P43">
        <v>1</v>
      </c>
      <c r="Q43">
        <v>-0.5</v>
      </c>
      <c r="R43">
        <v>307.32100000000003</v>
      </c>
      <c r="S43">
        <v>6</v>
      </c>
      <c r="T43">
        <v>8</v>
      </c>
      <c r="U43">
        <v>9</v>
      </c>
      <c r="V43">
        <v>389</v>
      </c>
      <c r="W43">
        <v>160</v>
      </c>
      <c r="X43">
        <v>-4.5</v>
      </c>
      <c r="Y43">
        <v>28.01</v>
      </c>
      <c r="Z43">
        <v>0</v>
      </c>
      <c r="AA43">
        <v>1</v>
      </c>
      <c r="AB43">
        <v>0</v>
      </c>
      <c r="AC43">
        <v>10</v>
      </c>
      <c r="AD43">
        <v>1</v>
      </c>
      <c r="AE43">
        <v>0.7</v>
      </c>
      <c r="AF43">
        <v>1</v>
      </c>
    </row>
    <row r="44" spans="1:32">
      <c r="A44">
        <v>2</v>
      </c>
      <c r="B44">
        <v>1</v>
      </c>
      <c r="C44">
        <v>0</v>
      </c>
      <c r="D44">
        <v>9</v>
      </c>
      <c r="E44">
        <v>25</v>
      </c>
      <c r="F44">
        <v>80.400000000000006</v>
      </c>
      <c r="G44">
        <v>1</v>
      </c>
      <c r="H44">
        <v>0</v>
      </c>
      <c r="I44">
        <v>1</v>
      </c>
      <c r="J44">
        <v>-0.52</v>
      </c>
      <c r="K44">
        <v>18.015000000000001</v>
      </c>
      <c r="L44">
        <v>1</v>
      </c>
      <c r="M44">
        <v>1</v>
      </c>
      <c r="N44">
        <v>0</v>
      </c>
      <c r="O44">
        <v>0</v>
      </c>
      <c r="P44">
        <v>1</v>
      </c>
      <c r="Q44">
        <v>-0.5</v>
      </c>
      <c r="R44">
        <v>307.32100000000003</v>
      </c>
      <c r="S44">
        <v>6</v>
      </c>
      <c r="T44">
        <v>8</v>
      </c>
      <c r="U44">
        <v>9</v>
      </c>
      <c r="V44">
        <v>389</v>
      </c>
      <c r="W44">
        <v>160</v>
      </c>
      <c r="X44">
        <v>-4.5</v>
      </c>
      <c r="Y44">
        <v>28.01</v>
      </c>
      <c r="Z44">
        <v>0</v>
      </c>
      <c r="AA44">
        <v>1</v>
      </c>
      <c r="AB44">
        <v>0</v>
      </c>
      <c r="AC44">
        <v>10</v>
      </c>
      <c r="AD44">
        <v>1</v>
      </c>
      <c r="AE44">
        <v>0.7</v>
      </c>
      <c r="AF44">
        <v>1</v>
      </c>
    </row>
    <row r="45" spans="1:32">
      <c r="A45">
        <v>2</v>
      </c>
      <c r="B45">
        <v>1</v>
      </c>
      <c r="C45">
        <v>0</v>
      </c>
      <c r="D45">
        <v>10</v>
      </c>
      <c r="E45">
        <v>25</v>
      </c>
      <c r="F45">
        <v>80.400000000000006</v>
      </c>
      <c r="G45">
        <v>1</v>
      </c>
      <c r="H45">
        <v>0</v>
      </c>
      <c r="I45">
        <v>1</v>
      </c>
      <c r="J45">
        <v>-0.52</v>
      </c>
      <c r="K45">
        <v>18.015000000000001</v>
      </c>
      <c r="L45">
        <v>1</v>
      </c>
      <c r="M45">
        <v>1</v>
      </c>
      <c r="N45">
        <v>0</v>
      </c>
      <c r="O45">
        <v>0</v>
      </c>
      <c r="P45">
        <v>1</v>
      </c>
      <c r="Q45">
        <v>-0.5</v>
      </c>
      <c r="R45">
        <v>307.32100000000003</v>
      </c>
      <c r="S45">
        <v>6</v>
      </c>
      <c r="T45">
        <v>8</v>
      </c>
      <c r="U45">
        <v>9</v>
      </c>
      <c r="V45">
        <v>389</v>
      </c>
      <c r="W45">
        <v>160</v>
      </c>
      <c r="X45">
        <v>-4.5</v>
      </c>
      <c r="Y45">
        <v>28.01</v>
      </c>
      <c r="Z45">
        <v>0</v>
      </c>
      <c r="AA45">
        <v>1</v>
      </c>
      <c r="AB45">
        <v>0</v>
      </c>
      <c r="AC45">
        <v>10</v>
      </c>
      <c r="AD45">
        <v>1</v>
      </c>
      <c r="AE45">
        <v>0.7</v>
      </c>
      <c r="AF45">
        <v>1</v>
      </c>
    </row>
    <row r="46" spans="1:32">
      <c r="A46">
        <v>2</v>
      </c>
      <c r="B46">
        <v>1</v>
      </c>
      <c r="C46">
        <v>0</v>
      </c>
      <c r="D46">
        <v>11</v>
      </c>
      <c r="E46">
        <v>25</v>
      </c>
      <c r="F46">
        <v>80.400000000000006</v>
      </c>
      <c r="G46">
        <v>1</v>
      </c>
      <c r="H46">
        <v>0</v>
      </c>
      <c r="I46">
        <v>1</v>
      </c>
      <c r="J46">
        <v>-0.52</v>
      </c>
      <c r="K46">
        <v>18.015000000000001</v>
      </c>
      <c r="L46">
        <v>1</v>
      </c>
      <c r="M46">
        <v>1</v>
      </c>
      <c r="N46">
        <v>0</v>
      </c>
      <c r="O46">
        <v>0</v>
      </c>
      <c r="P46">
        <v>1</v>
      </c>
      <c r="Q46">
        <v>-0.5</v>
      </c>
      <c r="R46">
        <v>307.32100000000003</v>
      </c>
      <c r="S46">
        <v>6</v>
      </c>
      <c r="T46">
        <v>8</v>
      </c>
      <c r="U46">
        <v>9</v>
      </c>
      <c r="V46">
        <v>389</v>
      </c>
      <c r="W46">
        <v>160</v>
      </c>
      <c r="X46">
        <v>-4.5</v>
      </c>
      <c r="Y46">
        <v>28.01</v>
      </c>
      <c r="Z46">
        <v>0</v>
      </c>
      <c r="AA46">
        <v>1</v>
      </c>
      <c r="AB46">
        <v>0</v>
      </c>
      <c r="AC46">
        <v>10</v>
      </c>
      <c r="AD46">
        <v>1</v>
      </c>
      <c r="AE46">
        <v>0.7</v>
      </c>
      <c r="AF46">
        <v>1</v>
      </c>
    </row>
    <row r="47" spans="1:32">
      <c r="A47">
        <v>2</v>
      </c>
      <c r="B47">
        <v>1</v>
      </c>
      <c r="C47">
        <v>0</v>
      </c>
      <c r="D47">
        <v>10</v>
      </c>
      <c r="E47">
        <v>25</v>
      </c>
      <c r="F47">
        <v>80.400000000000006</v>
      </c>
      <c r="G47">
        <v>1</v>
      </c>
      <c r="H47">
        <v>0</v>
      </c>
      <c r="I47">
        <v>1</v>
      </c>
      <c r="J47">
        <v>-0.52</v>
      </c>
      <c r="K47">
        <v>18.015000000000001</v>
      </c>
      <c r="L47">
        <v>1</v>
      </c>
      <c r="M47">
        <v>1</v>
      </c>
      <c r="N47">
        <v>0</v>
      </c>
      <c r="O47">
        <v>0</v>
      </c>
      <c r="P47">
        <v>1</v>
      </c>
      <c r="Q47">
        <v>-0.5</v>
      </c>
      <c r="R47">
        <v>106.139</v>
      </c>
      <c r="S47">
        <v>2</v>
      </c>
      <c r="T47">
        <v>3</v>
      </c>
      <c r="U47">
        <v>2</v>
      </c>
      <c r="V47">
        <v>52.8</v>
      </c>
      <c r="W47">
        <v>38.299999999999997</v>
      </c>
      <c r="X47">
        <v>0.4</v>
      </c>
      <c r="Y47">
        <v>28.01</v>
      </c>
      <c r="Z47">
        <v>0</v>
      </c>
      <c r="AA47">
        <v>1</v>
      </c>
      <c r="AB47">
        <v>0</v>
      </c>
      <c r="AC47">
        <v>10</v>
      </c>
      <c r="AD47">
        <v>1</v>
      </c>
      <c r="AE47">
        <v>0.7</v>
      </c>
      <c r="AF47">
        <v>1</v>
      </c>
    </row>
    <row r="48" spans="1:32">
      <c r="A48">
        <v>2</v>
      </c>
      <c r="B48">
        <v>1</v>
      </c>
      <c r="C48">
        <v>0</v>
      </c>
      <c r="D48">
        <v>11</v>
      </c>
      <c r="E48">
        <v>25</v>
      </c>
      <c r="F48">
        <v>80.400000000000006</v>
      </c>
      <c r="G48">
        <v>1</v>
      </c>
      <c r="H48">
        <v>0</v>
      </c>
      <c r="I48">
        <v>1</v>
      </c>
      <c r="J48">
        <v>-0.52</v>
      </c>
      <c r="K48">
        <v>18.015000000000001</v>
      </c>
      <c r="L48">
        <v>1</v>
      </c>
      <c r="M48">
        <v>1</v>
      </c>
      <c r="N48">
        <v>0</v>
      </c>
      <c r="O48">
        <v>0</v>
      </c>
      <c r="P48">
        <v>1</v>
      </c>
      <c r="Q48">
        <v>-0.5</v>
      </c>
      <c r="R48">
        <v>106.139</v>
      </c>
      <c r="S48">
        <v>2</v>
      </c>
      <c r="T48">
        <v>3</v>
      </c>
      <c r="U48">
        <v>2</v>
      </c>
      <c r="V48">
        <v>52.8</v>
      </c>
      <c r="W48">
        <v>38.299999999999997</v>
      </c>
      <c r="X48">
        <v>0.4</v>
      </c>
      <c r="Y48">
        <v>28.01</v>
      </c>
      <c r="Z48">
        <v>0</v>
      </c>
      <c r="AA48">
        <v>1</v>
      </c>
      <c r="AB48">
        <v>0</v>
      </c>
      <c r="AC48">
        <v>10</v>
      </c>
      <c r="AD48">
        <v>1</v>
      </c>
      <c r="AE48">
        <v>0.7</v>
      </c>
      <c r="AF48">
        <v>1</v>
      </c>
    </row>
    <row r="49" spans="1:32">
      <c r="A49">
        <v>2</v>
      </c>
      <c r="B49">
        <v>1</v>
      </c>
      <c r="C49">
        <v>0</v>
      </c>
      <c r="D49">
        <v>12</v>
      </c>
      <c r="E49">
        <v>25</v>
      </c>
      <c r="F49">
        <v>80.400000000000006</v>
      </c>
      <c r="G49">
        <v>1</v>
      </c>
      <c r="H49">
        <v>0</v>
      </c>
      <c r="I49">
        <v>1</v>
      </c>
      <c r="J49">
        <v>-0.52</v>
      </c>
      <c r="K49">
        <v>18.015000000000001</v>
      </c>
      <c r="L49">
        <v>1</v>
      </c>
      <c r="M49">
        <v>1</v>
      </c>
      <c r="N49">
        <v>0</v>
      </c>
      <c r="O49">
        <v>0</v>
      </c>
      <c r="P49">
        <v>1</v>
      </c>
      <c r="Q49">
        <v>-0.5</v>
      </c>
      <c r="R49">
        <v>106.139</v>
      </c>
      <c r="S49">
        <v>2</v>
      </c>
      <c r="T49">
        <v>3</v>
      </c>
      <c r="U49">
        <v>2</v>
      </c>
      <c r="V49">
        <v>52.8</v>
      </c>
      <c r="W49">
        <v>38.299999999999997</v>
      </c>
      <c r="X49">
        <v>0.4</v>
      </c>
      <c r="Y49">
        <v>28.01</v>
      </c>
      <c r="Z49">
        <v>0</v>
      </c>
      <c r="AA49">
        <v>1</v>
      </c>
      <c r="AB49">
        <v>0</v>
      </c>
      <c r="AC49">
        <v>10</v>
      </c>
      <c r="AD49">
        <v>1</v>
      </c>
      <c r="AE49">
        <v>0.7</v>
      </c>
      <c r="AF49">
        <v>1</v>
      </c>
    </row>
    <row r="50" spans="1:32">
      <c r="A50">
        <v>1021</v>
      </c>
      <c r="B50">
        <v>250</v>
      </c>
      <c r="C50">
        <v>50</v>
      </c>
      <c r="D50">
        <v>7</v>
      </c>
      <c r="E50">
        <v>25</v>
      </c>
      <c r="F50">
        <v>7.4</v>
      </c>
      <c r="G50">
        <v>1</v>
      </c>
      <c r="H50">
        <v>1</v>
      </c>
      <c r="I50">
        <v>1</v>
      </c>
      <c r="J50">
        <v>-0.48099999999999998</v>
      </c>
      <c r="K50">
        <v>84.927000000000007</v>
      </c>
      <c r="L50">
        <v>0</v>
      </c>
      <c r="M50">
        <v>0</v>
      </c>
      <c r="N50">
        <v>0</v>
      </c>
      <c r="O50">
        <v>2.8</v>
      </c>
      <c r="P50">
        <v>0</v>
      </c>
      <c r="Q50">
        <v>1.5</v>
      </c>
      <c r="R50">
        <v>116.066</v>
      </c>
      <c r="S50">
        <v>1</v>
      </c>
      <c r="T50">
        <v>1</v>
      </c>
      <c r="U50">
        <v>0</v>
      </c>
      <c r="V50">
        <v>46.1</v>
      </c>
      <c r="W50">
        <v>1</v>
      </c>
      <c r="X50">
        <v>2.7</v>
      </c>
      <c r="Y50">
        <v>37.832000000000001</v>
      </c>
      <c r="Z50">
        <v>0</v>
      </c>
      <c r="AA50">
        <v>1</v>
      </c>
      <c r="AB50">
        <v>0</v>
      </c>
      <c r="AC50">
        <v>2</v>
      </c>
      <c r="AD50">
        <v>0</v>
      </c>
      <c r="AE50" t="s">
        <v>226</v>
      </c>
      <c r="AF50">
        <v>1</v>
      </c>
    </row>
    <row r="51" spans="1:32">
      <c r="A51">
        <v>333.33333333333331</v>
      </c>
      <c r="B51">
        <v>83.333333333333329</v>
      </c>
      <c r="C51">
        <v>250</v>
      </c>
      <c r="D51">
        <v>7</v>
      </c>
      <c r="E51">
        <v>0</v>
      </c>
      <c r="F51">
        <v>20.7</v>
      </c>
      <c r="G51">
        <v>1</v>
      </c>
      <c r="H51">
        <v>0</v>
      </c>
      <c r="I51">
        <v>1</v>
      </c>
      <c r="J51">
        <v>-0.48099999999999998</v>
      </c>
      <c r="K51">
        <v>58.08</v>
      </c>
      <c r="L51">
        <v>0</v>
      </c>
      <c r="M51">
        <v>1</v>
      </c>
      <c r="N51">
        <v>0</v>
      </c>
      <c r="O51">
        <v>26.3</v>
      </c>
      <c r="P51">
        <v>17.100000000000001</v>
      </c>
      <c r="Q51">
        <v>-0.1</v>
      </c>
      <c r="R51">
        <v>307.32100000000003</v>
      </c>
      <c r="S51">
        <v>6</v>
      </c>
      <c r="T51">
        <v>8</v>
      </c>
      <c r="U51">
        <v>9</v>
      </c>
      <c r="V51">
        <v>389</v>
      </c>
      <c r="W51">
        <v>160</v>
      </c>
      <c r="X51">
        <v>-4.5</v>
      </c>
      <c r="Y51">
        <v>37.832000000000001</v>
      </c>
      <c r="Z51">
        <v>0</v>
      </c>
      <c r="AA51">
        <v>1</v>
      </c>
      <c r="AB51">
        <v>0</v>
      </c>
      <c r="AC51">
        <v>2</v>
      </c>
      <c r="AD51">
        <v>0</v>
      </c>
      <c r="AE51" t="s">
        <v>226</v>
      </c>
      <c r="AF51">
        <v>0</v>
      </c>
    </row>
    <row r="52" spans="1:32">
      <c r="A52">
        <v>265</v>
      </c>
      <c r="B52">
        <v>50</v>
      </c>
      <c r="C52">
        <v>200</v>
      </c>
      <c r="D52">
        <v>7</v>
      </c>
      <c r="E52">
        <v>25</v>
      </c>
      <c r="F52">
        <v>32.6</v>
      </c>
      <c r="G52">
        <v>1</v>
      </c>
      <c r="H52">
        <v>1</v>
      </c>
      <c r="I52">
        <v>1</v>
      </c>
      <c r="J52">
        <v>-0.48099999999999998</v>
      </c>
      <c r="K52">
        <v>32.042000000000002</v>
      </c>
      <c r="L52">
        <v>1</v>
      </c>
      <c r="M52">
        <v>1</v>
      </c>
      <c r="N52">
        <v>0</v>
      </c>
      <c r="O52">
        <v>2</v>
      </c>
      <c r="P52">
        <v>20.2</v>
      </c>
      <c r="Q52">
        <v>-0.5</v>
      </c>
      <c r="R52">
        <v>118.238</v>
      </c>
      <c r="S52">
        <v>1</v>
      </c>
      <c r="T52">
        <v>1</v>
      </c>
      <c r="U52">
        <v>4</v>
      </c>
      <c r="V52">
        <v>27.4</v>
      </c>
      <c r="W52">
        <v>1</v>
      </c>
      <c r="X52">
        <v>3.3</v>
      </c>
      <c r="Y52">
        <v>37.832000000000001</v>
      </c>
      <c r="Z52">
        <v>0</v>
      </c>
      <c r="AA52">
        <v>1</v>
      </c>
      <c r="AB52">
        <v>0</v>
      </c>
      <c r="AC52">
        <v>2</v>
      </c>
      <c r="AD52">
        <v>0</v>
      </c>
      <c r="AE52" t="s">
        <v>226</v>
      </c>
      <c r="AF52">
        <v>0</v>
      </c>
    </row>
    <row r="53" spans="1:32">
      <c r="A53">
        <v>266.66666666666669</v>
      </c>
      <c r="B53">
        <v>50</v>
      </c>
      <c r="C53">
        <v>200</v>
      </c>
      <c r="D53">
        <v>7</v>
      </c>
      <c r="E53">
        <v>25</v>
      </c>
      <c r="F53">
        <v>32.6</v>
      </c>
      <c r="G53">
        <v>1</v>
      </c>
      <c r="H53">
        <v>1</v>
      </c>
      <c r="I53">
        <v>1</v>
      </c>
      <c r="J53">
        <v>-0.48099999999999998</v>
      </c>
      <c r="K53">
        <v>32.042000000000002</v>
      </c>
      <c r="L53">
        <v>1</v>
      </c>
      <c r="M53">
        <v>1</v>
      </c>
      <c r="N53">
        <v>0</v>
      </c>
      <c r="O53">
        <v>2</v>
      </c>
      <c r="P53">
        <v>20.2</v>
      </c>
      <c r="Q53">
        <v>-0.5</v>
      </c>
      <c r="R53">
        <v>116.066</v>
      </c>
      <c r="S53">
        <v>1</v>
      </c>
      <c r="T53">
        <v>1</v>
      </c>
      <c r="U53">
        <v>0</v>
      </c>
      <c r="V53">
        <v>46.1</v>
      </c>
      <c r="W53">
        <v>1</v>
      </c>
      <c r="X53">
        <v>2.7</v>
      </c>
      <c r="Y53">
        <v>37.832000000000001</v>
      </c>
      <c r="Z53">
        <v>0</v>
      </c>
      <c r="AA53">
        <v>1</v>
      </c>
      <c r="AB53">
        <v>0</v>
      </c>
      <c r="AC53">
        <v>2</v>
      </c>
      <c r="AD53">
        <v>0</v>
      </c>
      <c r="AE53" t="s">
        <v>226</v>
      </c>
      <c r="AF53">
        <v>1</v>
      </c>
    </row>
    <row r="54" spans="1:32">
      <c r="A54">
        <v>132.5</v>
      </c>
      <c r="B54">
        <v>25</v>
      </c>
      <c r="C54">
        <v>400</v>
      </c>
      <c r="D54">
        <v>7</v>
      </c>
      <c r="E54">
        <v>0</v>
      </c>
      <c r="F54">
        <v>32.6</v>
      </c>
      <c r="G54">
        <v>1</v>
      </c>
      <c r="H54">
        <v>1</v>
      </c>
      <c r="I54">
        <v>1</v>
      </c>
      <c r="J54">
        <v>-0.48099999999999998</v>
      </c>
      <c r="K54">
        <v>32.042000000000002</v>
      </c>
      <c r="L54">
        <v>1</v>
      </c>
      <c r="M54">
        <v>1</v>
      </c>
      <c r="N54">
        <v>0</v>
      </c>
      <c r="O54">
        <v>2</v>
      </c>
      <c r="P54">
        <v>20.2</v>
      </c>
      <c r="Q54">
        <v>-0.5</v>
      </c>
      <c r="R54">
        <v>118.238</v>
      </c>
      <c r="S54">
        <v>1</v>
      </c>
      <c r="T54">
        <v>1</v>
      </c>
      <c r="U54">
        <v>4</v>
      </c>
      <c r="V54">
        <v>27.4</v>
      </c>
      <c r="W54">
        <v>1</v>
      </c>
      <c r="X54">
        <v>3.3</v>
      </c>
      <c r="Y54">
        <v>37.832000000000001</v>
      </c>
      <c r="Z54">
        <v>0</v>
      </c>
      <c r="AA54">
        <v>1</v>
      </c>
      <c r="AB54">
        <v>0</v>
      </c>
      <c r="AC54">
        <v>2</v>
      </c>
      <c r="AD54">
        <v>0</v>
      </c>
      <c r="AE54" t="s">
        <v>226</v>
      </c>
      <c r="AF54">
        <v>1</v>
      </c>
    </row>
    <row r="55" spans="1:32">
      <c r="A55">
        <v>84</v>
      </c>
      <c r="B55">
        <v>42</v>
      </c>
      <c r="C55">
        <v>140</v>
      </c>
      <c r="D55">
        <v>7</v>
      </c>
      <c r="E55">
        <v>25</v>
      </c>
      <c r="F55">
        <v>8.93</v>
      </c>
      <c r="G55">
        <v>1</v>
      </c>
      <c r="H55">
        <v>1</v>
      </c>
      <c r="I55">
        <v>0</v>
      </c>
      <c r="J55">
        <v>-0.48099999999999998</v>
      </c>
      <c r="K55">
        <v>84.927000000000007</v>
      </c>
      <c r="L55">
        <v>0</v>
      </c>
      <c r="M55">
        <v>0</v>
      </c>
      <c r="N55">
        <v>0</v>
      </c>
      <c r="O55">
        <v>2.8</v>
      </c>
      <c r="P55">
        <v>0</v>
      </c>
      <c r="Q55">
        <v>1.5</v>
      </c>
      <c r="R55">
        <v>110.17400000000001</v>
      </c>
      <c r="S55">
        <v>1</v>
      </c>
      <c r="T55">
        <v>1</v>
      </c>
      <c r="U55">
        <v>0</v>
      </c>
      <c r="V55">
        <v>46.1</v>
      </c>
      <c r="W55">
        <v>1</v>
      </c>
      <c r="X55">
        <v>2.5</v>
      </c>
      <c r="Y55">
        <v>37.832000000000001</v>
      </c>
      <c r="Z55">
        <v>0</v>
      </c>
      <c r="AA55">
        <v>1</v>
      </c>
      <c r="AB55">
        <v>0</v>
      </c>
      <c r="AC55">
        <v>2</v>
      </c>
      <c r="AD55">
        <v>0</v>
      </c>
      <c r="AE55" t="s">
        <v>226</v>
      </c>
      <c r="AF55">
        <v>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tures_c"/>
  <dimension ref="A1:Q55"/>
  <sheetViews>
    <sheetView tabSelected="1" workbookViewId="0">
      <selection activeCell="F2" sqref="F2"/>
    </sheetView>
  </sheetViews>
  <sheetFormatPr defaultRowHeight="15"/>
  <cols>
    <col min="6" max="6" width="14.7109375" customWidth="1"/>
  </cols>
  <sheetData>
    <row r="1" spans="1:17">
      <c r="A1" t="s">
        <v>291</v>
      </c>
      <c r="B1" t="s">
        <v>292</v>
      </c>
      <c r="C1" t="s">
        <v>293</v>
      </c>
      <c r="D1" t="s">
        <v>1</v>
      </c>
      <c r="E1" t="s">
        <v>224</v>
      </c>
      <c r="F1" t="s">
        <v>336</v>
      </c>
      <c r="G1" t="s">
        <v>339</v>
      </c>
      <c r="H1" t="s">
        <v>338</v>
      </c>
      <c r="I1" t="s">
        <v>340</v>
      </c>
      <c r="J1" t="s">
        <v>337</v>
      </c>
      <c r="K1" t="s">
        <v>49</v>
      </c>
      <c r="L1" t="s">
        <v>50</v>
      </c>
      <c r="M1" t="s">
        <v>51</v>
      </c>
      <c r="N1" t="s">
        <v>52</v>
      </c>
      <c r="O1" t="s">
        <v>233</v>
      </c>
      <c r="P1" t="s">
        <v>232</v>
      </c>
      <c r="Q1" t="s">
        <v>53</v>
      </c>
    </row>
    <row r="2" spans="1:17">
      <c r="A2">
        <v>2.2471910112359552</v>
      </c>
      <c r="B2">
        <v>1.1235955056179776</v>
      </c>
      <c r="C2">
        <v>2.7325842696629219</v>
      </c>
      <c r="D2">
        <v>12.5</v>
      </c>
      <c r="E2">
        <v>22</v>
      </c>
      <c r="F2">
        <v>80.400000000000006</v>
      </c>
      <c r="G2">
        <v>1</v>
      </c>
      <c r="H2">
        <v>0</v>
      </c>
      <c r="I2">
        <v>1</v>
      </c>
      <c r="J2">
        <v>-0.48099999999999998</v>
      </c>
      <c r="K2">
        <v>148.22</v>
      </c>
      <c r="L2">
        <v>2</v>
      </c>
      <c r="M2">
        <v>3</v>
      </c>
      <c r="N2">
        <v>5</v>
      </c>
      <c r="O2">
        <v>83.1</v>
      </c>
      <c r="P2">
        <v>38.299999999999997</v>
      </c>
      <c r="Q2">
        <v>0.6</v>
      </c>
    </row>
    <row r="3" spans="1:17">
      <c r="A3">
        <v>2.2471910112359552</v>
      </c>
      <c r="B3">
        <v>1.1235955056179776</v>
      </c>
      <c r="C3">
        <v>2.7325842696629219</v>
      </c>
      <c r="D3">
        <v>12.5</v>
      </c>
      <c r="E3">
        <v>30</v>
      </c>
      <c r="F3">
        <v>80.400000000000006</v>
      </c>
      <c r="G3">
        <v>1</v>
      </c>
      <c r="H3">
        <v>0</v>
      </c>
      <c r="I3">
        <v>1</v>
      </c>
      <c r="J3">
        <v>-0.48099999999999998</v>
      </c>
      <c r="K3">
        <v>148.22</v>
      </c>
      <c r="L3">
        <v>2</v>
      </c>
      <c r="M3">
        <v>3</v>
      </c>
      <c r="N3">
        <v>5</v>
      </c>
      <c r="O3">
        <v>83.1</v>
      </c>
      <c r="P3">
        <v>38.299999999999997</v>
      </c>
      <c r="Q3">
        <v>0.6</v>
      </c>
    </row>
    <row r="4" spans="1:17">
      <c r="A4">
        <v>2.2471910112359552</v>
      </c>
      <c r="B4">
        <v>1.1235955056179776</v>
      </c>
      <c r="C4">
        <v>2.7325842696629219</v>
      </c>
      <c r="D4">
        <v>12.5</v>
      </c>
      <c r="E4">
        <v>40</v>
      </c>
      <c r="F4">
        <v>80.400000000000006</v>
      </c>
      <c r="G4">
        <v>1</v>
      </c>
      <c r="H4">
        <v>0</v>
      </c>
      <c r="I4">
        <v>1</v>
      </c>
      <c r="J4">
        <v>-0.48099999999999998</v>
      </c>
      <c r="K4">
        <v>148.22</v>
      </c>
      <c r="L4">
        <v>2</v>
      </c>
      <c r="M4">
        <v>3</v>
      </c>
      <c r="N4">
        <v>5</v>
      </c>
      <c r="O4">
        <v>83.1</v>
      </c>
      <c r="P4">
        <v>38.299999999999997</v>
      </c>
      <c r="Q4">
        <v>0.6</v>
      </c>
    </row>
    <row r="5" spans="1:17">
      <c r="A5">
        <v>2.2471910112359552</v>
      </c>
      <c r="B5">
        <v>1.1235955056179776</v>
      </c>
      <c r="C5">
        <v>2.7325842696629219</v>
      </c>
      <c r="D5">
        <v>12.5</v>
      </c>
      <c r="E5">
        <v>50</v>
      </c>
      <c r="F5">
        <v>80.400000000000006</v>
      </c>
      <c r="G5">
        <v>1</v>
      </c>
      <c r="H5">
        <v>0</v>
      </c>
      <c r="I5">
        <v>1</v>
      </c>
      <c r="J5">
        <v>-0.48099999999999998</v>
      </c>
      <c r="K5">
        <v>148.22</v>
      </c>
      <c r="L5">
        <v>2</v>
      </c>
      <c r="M5">
        <v>3</v>
      </c>
      <c r="N5">
        <v>5</v>
      </c>
      <c r="O5">
        <v>83.1</v>
      </c>
      <c r="P5">
        <v>38.299999999999997</v>
      </c>
      <c r="Q5">
        <v>0.6</v>
      </c>
    </row>
    <row r="6" spans="1:17">
      <c r="A6">
        <v>2.2471910112359552</v>
      </c>
      <c r="B6">
        <v>1.1235955056179776</v>
      </c>
      <c r="C6">
        <v>2.7325842696629219</v>
      </c>
      <c r="D6">
        <v>12.5</v>
      </c>
      <c r="E6">
        <v>60</v>
      </c>
      <c r="F6">
        <v>80.400000000000006</v>
      </c>
      <c r="G6">
        <v>1</v>
      </c>
      <c r="H6">
        <v>0</v>
      </c>
      <c r="I6">
        <v>1</v>
      </c>
      <c r="J6">
        <v>-0.48099999999999998</v>
      </c>
      <c r="K6">
        <v>148.22</v>
      </c>
      <c r="L6">
        <v>2</v>
      </c>
      <c r="M6">
        <v>3</v>
      </c>
      <c r="N6">
        <v>5</v>
      </c>
      <c r="O6">
        <v>83.1</v>
      </c>
      <c r="P6">
        <v>38.299999999999997</v>
      </c>
      <c r="Q6">
        <v>0.6</v>
      </c>
    </row>
    <row r="7" spans="1:17">
      <c r="A7">
        <v>2.1026072329688814</v>
      </c>
      <c r="B7">
        <v>1.0513036164844407</v>
      </c>
      <c r="C7">
        <v>3.2800672834314551E-2</v>
      </c>
      <c r="D7">
        <v>11.5</v>
      </c>
      <c r="E7">
        <v>22</v>
      </c>
      <c r="F7">
        <v>80.400000000000006</v>
      </c>
      <c r="G7">
        <v>0</v>
      </c>
      <c r="H7">
        <v>0</v>
      </c>
      <c r="I7">
        <v>0</v>
      </c>
      <c r="J7">
        <v>-0.48099999999999998</v>
      </c>
      <c r="K7">
        <v>335.29599999999999</v>
      </c>
      <c r="L7">
        <v>4</v>
      </c>
      <c r="M7">
        <v>6</v>
      </c>
      <c r="N7">
        <v>6</v>
      </c>
      <c r="O7">
        <v>452</v>
      </c>
      <c r="P7">
        <v>121</v>
      </c>
      <c r="Q7">
        <v>-1.8</v>
      </c>
    </row>
    <row r="8" spans="1:17">
      <c r="A8">
        <v>2.1276595744680851</v>
      </c>
      <c r="B8">
        <v>1.0638297872340425</v>
      </c>
      <c r="C8">
        <v>2.1276595744680851E-2</v>
      </c>
      <c r="D8">
        <v>11.5</v>
      </c>
      <c r="E8">
        <v>22</v>
      </c>
      <c r="F8">
        <v>80.400000000000006</v>
      </c>
      <c r="G8">
        <v>0</v>
      </c>
      <c r="H8">
        <v>0</v>
      </c>
      <c r="I8">
        <v>0</v>
      </c>
      <c r="J8">
        <v>-0.48099999999999998</v>
      </c>
      <c r="K8">
        <v>335.29599999999999</v>
      </c>
      <c r="L8">
        <v>4</v>
      </c>
      <c r="M8">
        <v>6</v>
      </c>
      <c r="N8">
        <v>6</v>
      </c>
      <c r="O8">
        <v>452</v>
      </c>
      <c r="P8">
        <v>121</v>
      </c>
      <c r="Q8">
        <v>-1.8</v>
      </c>
    </row>
    <row r="9" spans="1:17">
      <c r="A9">
        <v>2.083333333333333</v>
      </c>
      <c r="B9">
        <v>1.0416666666666665</v>
      </c>
      <c r="C9">
        <v>4.1666666666666664E-2</v>
      </c>
      <c r="D9">
        <v>11.5</v>
      </c>
      <c r="E9">
        <v>22</v>
      </c>
      <c r="F9">
        <v>80.400000000000006</v>
      </c>
      <c r="G9">
        <v>0</v>
      </c>
      <c r="H9">
        <v>0</v>
      </c>
      <c r="I9">
        <v>0</v>
      </c>
      <c r="J9">
        <v>-0.48099999999999998</v>
      </c>
      <c r="K9">
        <v>335.29599999999999</v>
      </c>
      <c r="L9">
        <v>4</v>
      </c>
      <c r="M9">
        <v>6</v>
      </c>
      <c r="N9">
        <v>6</v>
      </c>
      <c r="O9">
        <v>452</v>
      </c>
      <c r="P9">
        <v>121</v>
      </c>
      <c r="Q9">
        <v>-1.8</v>
      </c>
    </row>
    <row r="10" spans="1:17">
      <c r="A10">
        <v>2.0703933747412004</v>
      </c>
      <c r="B10">
        <v>1.0351966873706002</v>
      </c>
      <c r="C10">
        <v>4.7619047619047609E-2</v>
      </c>
      <c r="D10">
        <v>11.5</v>
      </c>
      <c r="E10">
        <v>22</v>
      </c>
      <c r="F10">
        <v>80.400000000000006</v>
      </c>
      <c r="G10">
        <v>0</v>
      </c>
      <c r="H10">
        <v>0</v>
      </c>
      <c r="I10">
        <v>0</v>
      </c>
      <c r="J10">
        <v>-0.48099999999999998</v>
      </c>
      <c r="K10">
        <v>335.29599999999999</v>
      </c>
      <c r="L10">
        <v>4</v>
      </c>
      <c r="M10">
        <v>6</v>
      </c>
      <c r="N10">
        <v>6</v>
      </c>
      <c r="O10">
        <v>452</v>
      </c>
      <c r="P10">
        <v>121</v>
      </c>
      <c r="Q10">
        <v>-1.8</v>
      </c>
    </row>
    <row r="11" spans="1:17">
      <c r="A11">
        <v>2.1276595744680851</v>
      </c>
      <c r="B11">
        <v>1.0638297872340425</v>
      </c>
      <c r="C11">
        <v>2.1276595744680851</v>
      </c>
      <c r="D11">
        <v>11.5</v>
      </c>
      <c r="E11">
        <v>22</v>
      </c>
      <c r="F11">
        <v>80.400000000000006</v>
      </c>
      <c r="G11">
        <v>0</v>
      </c>
      <c r="H11">
        <v>0</v>
      </c>
      <c r="I11">
        <v>0</v>
      </c>
      <c r="J11">
        <v>-0.48099999999999998</v>
      </c>
      <c r="K11">
        <v>335.29599999999999</v>
      </c>
      <c r="L11">
        <v>4</v>
      </c>
      <c r="M11">
        <v>6</v>
      </c>
      <c r="N11">
        <v>6</v>
      </c>
      <c r="O11">
        <v>452</v>
      </c>
      <c r="P11">
        <v>121</v>
      </c>
      <c r="Q11">
        <v>-1.8</v>
      </c>
    </row>
    <row r="12" spans="1:17">
      <c r="A12">
        <v>3.0612244897959182</v>
      </c>
      <c r="B12">
        <v>1.0204081632653061</v>
      </c>
      <c r="C12">
        <v>4.0816326530612242E-2</v>
      </c>
      <c r="D12">
        <v>11.5</v>
      </c>
      <c r="E12">
        <v>22</v>
      </c>
      <c r="F12">
        <v>80.400000000000006</v>
      </c>
      <c r="G12">
        <v>0</v>
      </c>
      <c r="H12">
        <v>0</v>
      </c>
      <c r="I12">
        <v>0</v>
      </c>
      <c r="J12">
        <v>-0.48099999999999998</v>
      </c>
      <c r="K12">
        <v>335.29599999999999</v>
      </c>
      <c r="L12">
        <v>4</v>
      </c>
      <c r="M12">
        <v>6</v>
      </c>
      <c r="N12">
        <v>6</v>
      </c>
      <c r="O12">
        <v>452</v>
      </c>
      <c r="P12">
        <v>121</v>
      </c>
      <c r="Q12">
        <v>-1.8</v>
      </c>
    </row>
    <row r="13" spans="1:17">
      <c r="A13">
        <v>2.5773195876288657</v>
      </c>
      <c r="B13">
        <v>1.0309278350515463</v>
      </c>
      <c r="C13">
        <v>4.1237113402061855E-2</v>
      </c>
      <c r="D13">
        <v>11.5</v>
      </c>
      <c r="E13">
        <v>22</v>
      </c>
      <c r="F13">
        <v>80.400000000000006</v>
      </c>
      <c r="G13">
        <v>0</v>
      </c>
      <c r="H13">
        <v>0</v>
      </c>
      <c r="I13">
        <v>0</v>
      </c>
      <c r="J13">
        <v>-0.48099999999999998</v>
      </c>
      <c r="K13">
        <v>335.29599999999999</v>
      </c>
      <c r="L13">
        <v>4</v>
      </c>
      <c r="M13">
        <v>6</v>
      </c>
      <c r="N13">
        <v>6</v>
      </c>
      <c r="O13">
        <v>452</v>
      </c>
      <c r="P13">
        <v>121</v>
      </c>
      <c r="Q13">
        <v>-1.8</v>
      </c>
    </row>
    <row r="14" spans="1:17">
      <c r="A14">
        <v>1.5789473684210524</v>
      </c>
      <c r="B14">
        <v>1.0526315789473681</v>
      </c>
      <c r="C14">
        <v>4.2105263157894729E-2</v>
      </c>
      <c r="D14">
        <v>11.5</v>
      </c>
      <c r="E14">
        <v>22</v>
      </c>
      <c r="F14">
        <v>80.400000000000006</v>
      </c>
      <c r="G14">
        <v>0</v>
      </c>
      <c r="H14">
        <v>0</v>
      </c>
      <c r="I14">
        <v>0</v>
      </c>
      <c r="J14">
        <v>-0.48099999999999998</v>
      </c>
      <c r="K14">
        <v>335.29599999999999</v>
      </c>
      <c r="L14">
        <v>4</v>
      </c>
      <c r="M14">
        <v>6</v>
      </c>
      <c r="N14">
        <v>6</v>
      </c>
      <c r="O14">
        <v>452</v>
      </c>
      <c r="P14">
        <v>121</v>
      </c>
      <c r="Q14">
        <v>-1.8</v>
      </c>
    </row>
    <row r="15" spans="1:17">
      <c r="A15">
        <v>2.083333333333333</v>
      </c>
      <c r="B15">
        <v>1.0416666666666665</v>
      </c>
      <c r="C15">
        <v>4.1666666666666664E-2</v>
      </c>
      <c r="D15">
        <v>10</v>
      </c>
      <c r="E15">
        <v>22</v>
      </c>
      <c r="F15">
        <v>80.400000000000006</v>
      </c>
      <c r="G15">
        <v>0</v>
      </c>
      <c r="H15">
        <v>0</v>
      </c>
      <c r="I15">
        <v>0</v>
      </c>
      <c r="J15">
        <v>-0.48099999999999998</v>
      </c>
      <c r="K15">
        <v>335.29599999999999</v>
      </c>
      <c r="L15">
        <v>4</v>
      </c>
      <c r="M15">
        <v>6</v>
      </c>
      <c r="N15">
        <v>6</v>
      </c>
      <c r="O15">
        <v>452</v>
      </c>
      <c r="P15">
        <v>121</v>
      </c>
      <c r="Q15">
        <v>-1.8</v>
      </c>
    </row>
    <row r="16" spans="1:17">
      <c r="A16">
        <v>2.083333333333333</v>
      </c>
      <c r="B16">
        <v>1.0416666666666665</v>
      </c>
      <c r="C16">
        <v>4.1666666666666664E-2</v>
      </c>
      <c r="D16">
        <v>11</v>
      </c>
      <c r="E16">
        <v>22</v>
      </c>
      <c r="F16">
        <v>80.400000000000006</v>
      </c>
      <c r="G16">
        <v>0</v>
      </c>
      <c r="H16">
        <v>0</v>
      </c>
      <c r="I16">
        <v>0</v>
      </c>
      <c r="J16">
        <v>-0.48099999999999998</v>
      </c>
      <c r="K16">
        <v>335.29599999999999</v>
      </c>
      <c r="L16">
        <v>4</v>
      </c>
      <c r="M16">
        <v>6</v>
      </c>
      <c r="N16">
        <v>6</v>
      </c>
      <c r="O16">
        <v>452</v>
      </c>
      <c r="P16">
        <v>121</v>
      </c>
      <c r="Q16">
        <v>-1.8</v>
      </c>
    </row>
    <row r="17" spans="1:17">
      <c r="A17">
        <v>2.083333333333333</v>
      </c>
      <c r="B17">
        <v>1.0416666666666665</v>
      </c>
      <c r="C17">
        <v>4.1666666666666664E-2</v>
      </c>
      <c r="D17">
        <v>12</v>
      </c>
      <c r="E17">
        <v>22</v>
      </c>
      <c r="F17">
        <v>80.400000000000006</v>
      </c>
      <c r="G17">
        <v>0</v>
      </c>
      <c r="H17">
        <v>0</v>
      </c>
      <c r="I17">
        <v>0</v>
      </c>
      <c r="J17">
        <v>-0.48099999999999998</v>
      </c>
      <c r="K17">
        <v>335.29599999999999</v>
      </c>
      <c r="L17">
        <v>4</v>
      </c>
      <c r="M17">
        <v>6</v>
      </c>
      <c r="N17">
        <v>6</v>
      </c>
      <c r="O17">
        <v>452</v>
      </c>
      <c r="P17">
        <v>121</v>
      </c>
      <c r="Q17">
        <v>-1.8</v>
      </c>
    </row>
    <row r="18" spans="1:17">
      <c r="A18">
        <v>2.083333333333333</v>
      </c>
      <c r="B18">
        <v>1.0416666666666665</v>
      </c>
      <c r="C18">
        <v>4.1666666666666664E-2</v>
      </c>
      <c r="D18">
        <v>12.5</v>
      </c>
      <c r="E18">
        <v>22</v>
      </c>
      <c r="F18">
        <v>80.400000000000006</v>
      </c>
      <c r="G18">
        <v>0</v>
      </c>
      <c r="H18">
        <v>0</v>
      </c>
      <c r="I18">
        <v>0</v>
      </c>
      <c r="J18">
        <v>-0.48099999999999998</v>
      </c>
      <c r="K18">
        <v>335.29599999999999</v>
      </c>
      <c r="L18">
        <v>4</v>
      </c>
      <c r="M18">
        <v>6</v>
      </c>
      <c r="N18">
        <v>6</v>
      </c>
      <c r="O18">
        <v>452</v>
      </c>
      <c r="P18">
        <v>121</v>
      </c>
      <c r="Q18">
        <v>-1.8</v>
      </c>
    </row>
    <row r="19" spans="1:17">
      <c r="A19">
        <v>2.083333333333333</v>
      </c>
      <c r="B19">
        <v>1.0416666666666665</v>
      </c>
      <c r="C19">
        <v>4.1666666666666664E-2</v>
      </c>
      <c r="D19">
        <v>12.8</v>
      </c>
      <c r="E19">
        <v>22</v>
      </c>
      <c r="F19">
        <v>80.400000000000006</v>
      </c>
      <c r="G19">
        <v>0</v>
      </c>
      <c r="H19">
        <v>0</v>
      </c>
      <c r="I19">
        <v>0</v>
      </c>
      <c r="J19">
        <v>-0.48099999999999998</v>
      </c>
      <c r="K19">
        <v>335.29599999999999</v>
      </c>
      <c r="L19">
        <v>4</v>
      </c>
      <c r="M19">
        <v>6</v>
      </c>
      <c r="N19">
        <v>6</v>
      </c>
      <c r="O19">
        <v>452</v>
      </c>
      <c r="P19">
        <v>121</v>
      </c>
      <c r="Q19">
        <v>-1.8</v>
      </c>
    </row>
    <row r="20" spans="1:17">
      <c r="A20">
        <v>2.083333333333333</v>
      </c>
      <c r="B20">
        <v>1.0416666666666665</v>
      </c>
      <c r="C20">
        <v>4.1666666666666664E-2</v>
      </c>
      <c r="D20">
        <v>11.5</v>
      </c>
      <c r="E20">
        <v>22</v>
      </c>
      <c r="F20">
        <v>80.400000000000006</v>
      </c>
      <c r="G20">
        <v>0</v>
      </c>
      <c r="H20">
        <v>0</v>
      </c>
      <c r="I20">
        <v>0</v>
      </c>
      <c r="J20">
        <v>-0.48099999999999998</v>
      </c>
      <c r="K20">
        <v>154.18299999999999</v>
      </c>
      <c r="L20">
        <v>2</v>
      </c>
      <c r="M20">
        <v>3</v>
      </c>
      <c r="N20">
        <v>1</v>
      </c>
      <c r="O20">
        <v>136</v>
      </c>
      <c r="P20">
        <v>38.299999999999997</v>
      </c>
      <c r="Q20">
        <v>2.2999999999999998</v>
      </c>
    </row>
    <row r="21" spans="1:17">
      <c r="A21">
        <v>3.0612244897959182</v>
      </c>
      <c r="B21">
        <v>1.0204081632653061</v>
      </c>
      <c r="C21">
        <v>4.0816326530612242E-2</v>
      </c>
      <c r="D21">
        <v>11.5</v>
      </c>
      <c r="E21">
        <v>22</v>
      </c>
      <c r="F21">
        <v>80.400000000000006</v>
      </c>
      <c r="G21">
        <v>0</v>
      </c>
      <c r="H21">
        <v>0</v>
      </c>
      <c r="I21">
        <v>0</v>
      </c>
      <c r="J21">
        <v>-0.48099999999999998</v>
      </c>
      <c r="K21">
        <v>154.18299999999999</v>
      </c>
      <c r="L21">
        <v>2</v>
      </c>
      <c r="M21">
        <v>3</v>
      </c>
      <c r="N21">
        <v>1</v>
      </c>
      <c r="O21">
        <v>136</v>
      </c>
      <c r="P21">
        <v>38.299999999999997</v>
      </c>
      <c r="Q21">
        <v>2.2999999999999998</v>
      </c>
    </row>
    <row r="22" spans="1:17">
      <c r="A22">
        <v>2.5773195876288657</v>
      </c>
      <c r="B22">
        <v>1.0309278350515463</v>
      </c>
      <c r="C22">
        <v>4.1237113402061855E-2</v>
      </c>
      <c r="D22">
        <v>11.5</v>
      </c>
      <c r="E22">
        <v>22</v>
      </c>
      <c r="F22">
        <v>80.400000000000006</v>
      </c>
      <c r="G22">
        <v>0</v>
      </c>
      <c r="H22">
        <v>0</v>
      </c>
      <c r="I22">
        <v>0</v>
      </c>
      <c r="J22">
        <v>-0.48099999999999998</v>
      </c>
      <c r="K22">
        <v>154.18299999999999</v>
      </c>
      <c r="L22">
        <v>2</v>
      </c>
      <c r="M22">
        <v>3</v>
      </c>
      <c r="N22">
        <v>1</v>
      </c>
      <c r="O22">
        <v>136</v>
      </c>
      <c r="P22">
        <v>38.299999999999997</v>
      </c>
      <c r="Q22">
        <v>2.2999999999999998</v>
      </c>
    </row>
    <row r="23" spans="1:17">
      <c r="A23">
        <v>1.5789473684210524</v>
      </c>
      <c r="B23">
        <v>1.0526315789473681</v>
      </c>
      <c r="C23">
        <v>4.2105263157894729E-2</v>
      </c>
      <c r="D23">
        <v>11.5</v>
      </c>
      <c r="E23">
        <v>22</v>
      </c>
      <c r="F23">
        <v>80.400000000000006</v>
      </c>
      <c r="G23">
        <v>0</v>
      </c>
      <c r="H23">
        <v>0</v>
      </c>
      <c r="I23">
        <v>0</v>
      </c>
      <c r="J23">
        <v>-0.48099999999999998</v>
      </c>
      <c r="K23">
        <v>154.18299999999999</v>
      </c>
      <c r="L23">
        <v>2</v>
      </c>
      <c r="M23">
        <v>3</v>
      </c>
      <c r="N23">
        <v>1</v>
      </c>
      <c r="O23">
        <v>136</v>
      </c>
      <c r="P23">
        <v>38.299999999999997</v>
      </c>
      <c r="Q23">
        <v>2.2999999999999998</v>
      </c>
    </row>
    <row r="24" spans="1:17">
      <c r="A24">
        <v>2.083333333333333</v>
      </c>
      <c r="B24">
        <v>1.0416666666666665</v>
      </c>
      <c r="C24">
        <v>4.1666666666666664E-2</v>
      </c>
      <c r="D24">
        <v>10</v>
      </c>
      <c r="E24">
        <v>22</v>
      </c>
      <c r="F24">
        <v>80.400000000000006</v>
      </c>
      <c r="G24">
        <v>0</v>
      </c>
      <c r="H24">
        <v>0</v>
      </c>
      <c r="I24">
        <v>0</v>
      </c>
      <c r="J24">
        <v>-0.48099999999999998</v>
      </c>
      <c r="K24">
        <v>154.18299999999999</v>
      </c>
      <c r="L24">
        <v>2</v>
      </c>
      <c r="M24">
        <v>3</v>
      </c>
      <c r="N24">
        <v>1</v>
      </c>
      <c r="O24">
        <v>136</v>
      </c>
      <c r="P24">
        <v>38.299999999999997</v>
      </c>
      <c r="Q24">
        <v>2.2999999999999998</v>
      </c>
    </row>
    <row r="25" spans="1:17">
      <c r="A25">
        <v>2.083333333333333</v>
      </c>
      <c r="B25">
        <v>1.0416666666666665</v>
      </c>
      <c r="C25">
        <v>4.1666666666666664E-2</v>
      </c>
      <c r="D25">
        <v>11</v>
      </c>
      <c r="E25">
        <v>22</v>
      </c>
      <c r="F25">
        <v>80.400000000000006</v>
      </c>
      <c r="G25">
        <v>0</v>
      </c>
      <c r="H25">
        <v>0</v>
      </c>
      <c r="I25">
        <v>0</v>
      </c>
      <c r="J25">
        <v>-0.48099999999999998</v>
      </c>
      <c r="K25">
        <v>154.18299999999999</v>
      </c>
      <c r="L25">
        <v>2</v>
      </c>
      <c r="M25">
        <v>3</v>
      </c>
      <c r="N25">
        <v>1</v>
      </c>
      <c r="O25">
        <v>136</v>
      </c>
      <c r="P25">
        <v>38.299999999999997</v>
      </c>
      <c r="Q25">
        <v>2.2999999999999998</v>
      </c>
    </row>
    <row r="26" spans="1:17">
      <c r="A26">
        <v>2.083333333333333</v>
      </c>
      <c r="B26">
        <v>1.0416666666666665</v>
      </c>
      <c r="C26">
        <v>4.1666666666666664E-2</v>
      </c>
      <c r="D26">
        <v>12</v>
      </c>
      <c r="E26">
        <v>22</v>
      </c>
      <c r="F26">
        <v>80.400000000000006</v>
      </c>
      <c r="G26">
        <v>0</v>
      </c>
      <c r="H26">
        <v>0</v>
      </c>
      <c r="I26">
        <v>0</v>
      </c>
      <c r="J26">
        <v>-0.48099999999999998</v>
      </c>
      <c r="K26">
        <v>154.18299999999999</v>
      </c>
      <c r="L26">
        <v>2</v>
      </c>
      <c r="M26">
        <v>3</v>
      </c>
      <c r="N26">
        <v>1</v>
      </c>
      <c r="O26">
        <v>136</v>
      </c>
      <c r="P26">
        <v>38.299999999999997</v>
      </c>
      <c r="Q26">
        <v>2.2999999999999998</v>
      </c>
    </row>
    <row r="27" spans="1:17">
      <c r="A27">
        <v>2.083333333333333</v>
      </c>
      <c r="B27">
        <v>1.0416666666666665</v>
      </c>
      <c r="C27">
        <v>4.1666666666666664E-2</v>
      </c>
      <c r="D27">
        <v>12.5</v>
      </c>
      <c r="E27">
        <v>22</v>
      </c>
      <c r="F27">
        <v>80.400000000000006</v>
      </c>
      <c r="G27">
        <v>0</v>
      </c>
      <c r="H27">
        <v>0</v>
      </c>
      <c r="I27">
        <v>0</v>
      </c>
      <c r="J27">
        <v>-0.48099999999999998</v>
      </c>
      <c r="K27">
        <v>154.18299999999999</v>
      </c>
      <c r="L27">
        <v>2</v>
      </c>
      <c r="M27">
        <v>3</v>
      </c>
      <c r="N27">
        <v>1</v>
      </c>
      <c r="O27">
        <v>136</v>
      </c>
      <c r="P27">
        <v>38.299999999999997</v>
      </c>
      <c r="Q27">
        <v>2.2999999999999998</v>
      </c>
    </row>
    <row r="28" spans="1:17">
      <c r="A28">
        <v>2.083333333333333</v>
      </c>
      <c r="B28">
        <v>1.0416666666666665</v>
      </c>
      <c r="C28">
        <v>4.1666666666666664E-2</v>
      </c>
      <c r="D28">
        <v>12.8</v>
      </c>
      <c r="E28">
        <v>22</v>
      </c>
      <c r="F28">
        <v>80.400000000000006</v>
      </c>
      <c r="G28">
        <v>0</v>
      </c>
      <c r="H28">
        <v>0</v>
      </c>
      <c r="I28">
        <v>0</v>
      </c>
      <c r="J28">
        <v>-0.48099999999999998</v>
      </c>
      <c r="K28">
        <v>154.18299999999999</v>
      </c>
      <c r="L28">
        <v>2</v>
      </c>
      <c r="M28">
        <v>3</v>
      </c>
      <c r="N28">
        <v>1</v>
      </c>
      <c r="O28">
        <v>136</v>
      </c>
      <c r="P28">
        <v>38.299999999999997</v>
      </c>
      <c r="Q28">
        <v>2.2999999999999998</v>
      </c>
    </row>
    <row r="29" spans="1:17">
      <c r="A29">
        <v>30</v>
      </c>
      <c r="B29">
        <v>30</v>
      </c>
      <c r="C29">
        <v>400</v>
      </c>
      <c r="D29">
        <v>7</v>
      </c>
      <c r="E29">
        <v>0</v>
      </c>
      <c r="F29">
        <v>2.4</v>
      </c>
      <c r="G29">
        <v>1</v>
      </c>
      <c r="H29">
        <v>1</v>
      </c>
      <c r="I29">
        <v>1</v>
      </c>
      <c r="J29">
        <v>-0.48099999999999998</v>
      </c>
      <c r="K29">
        <v>138.22800000000001</v>
      </c>
      <c r="L29">
        <v>1</v>
      </c>
      <c r="M29">
        <v>1</v>
      </c>
      <c r="N29">
        <v>2</v>
      </c>
      <c r="O29">
        <v>65</v>
      </c>
      <c r="P29">
        <v>1</v>
      </c>
      <c r="Q29">
        <v>2.6</v>
      </c>
    </row>
    <row r="30" spans="1:17">
      <c r="A30">
        <v>150.83251714005877</v>
      </c>
      <c r="B30">
        <v>25.07345739471107</v>
      </c>
      <c r="C30">
        <v>209.66420966420966</v>
      </c>
      <c r="D30">
        <v>7</v>
      </c>
      <c r="E30">
        <v>25</v>
      </c>
      <c r="F30">
        <v>7.4</v>
      </c>
      <c r="G30">
        <v>1</v>
      </c>
      <c r="H30">
        <v>1</v>
      </c>
      <c r="I30">
        <v>1</v>
      </c>
      <c r="J30">
        <v>-0.48099999999999998</v>
      </c>
      <c r="K30">
        <v>138.22800000000001</v>
      </c>
      <c r="L30">
        <v>1</v>
      </c>
      <c r="M30">
        <v>1</v>
      </c>
      <c r="N30">
        <v>2</v>
      </c>
      <c r="O30">
        <v>65</v>
      </c>
      <c r="P30">
        <v>1</v>
      </c>
      <c r="Q30">
        <v>2.6</v>
      </c>
    </row>
    <row r="31" spans="1:17">
      <c r="A31">
        <v>200</v>
      </c>
      <c r="B31">
        <v>40</v>
      </c>
      <c r="C31">
        <v>133.33333333333334</v>
      </c>
      <c r="D31">
        <v>7</v>
      </c>
      <c r="E31">
        <v>25</v>
      </c>
      <c r="F31">
        <v>32.6</v>
      </c>
      <c r="G31">
        <v>1</v>
      </c>
      <c r="H31">
        <v>0</v>
      </c>
      <c r="I31">
        <v>1</v>
      </c>
      <c r="J31">
        <v>-0.48099999999999998</v>
      </c>
      <c r="K31">
        <v>217.28299999999999</v>
      </c>
      <c r="L31">
        <v>2</v>
      </c>
      <c r="M31">
        <v>4</v>
      </c>
      <c r="N31">
        <v>3</v>
      </c>
      <c r="O31">
        <v>244</v>
      </c>
      <c r="P31">
        <v>58.6</v>
      </c>
      <c r="Q31">
        <v>0.3</v>
      </c>
    </row>
    <row r="32" spans="1:17">
      <c r="A32">
        <v>3</v>
      </c>
      <c r="B32">
        <v>9</v>
      </c>
      <c r="C32">
        <v>4.5</v>
      </c>
      <c r="D32">
        <v>7</v>
      </c>
      <c r="E32">
        <v>4</v>
      </c>
      <c r="F32">
        <v>32.6</v>
      </c>
      <c r="G32">
        <v>0</v>
      </c>
      <c r="H32">
        <v>0</v>
      </c>
      <c r="I32">
        <v>0</v>
      </c>
      <c r="J32">
        <v>-0.48099999999999998</v>
      </c>
      <c r="K32">
        <v>335.29599999999999</v>
      </c>
      <c r="L32">
        <v>4</v>
      </c>
      <c r="M32">
        <v>6</v>
      </c>
      <c r="N32">
        <v>6</v>
      </c>
      <c r="O32">
        <v>452</v>
      </c>
      <c r="P32">
        <v>121</v>
      </c>
      <c r="Q32">
        <v>-1.8</v>
      </c>
    </row>
    <row r="33" spans="1:17">
      <c r="A33">
        <v>2</v>
      </c>
      <c r="B33">
        <v>1</v>
      </c>
      <c r="C33">
        <v>0</v>
      </c>
      <c r="D33">
        <v>11</v>
      </c>
      <c r="E33">
        <v>25</v>
      </c>
      <c r="F33">
        <v>31.6</v>
      </c>
      <c r="G33">
        <v>0</v>
      </c>
      <c r="H33">
        <v>0</v>
      </c>
      <c r="I33">
        <v>0</v>
      </c>
      <c r="J33">
        <v>-0.52</v>
      </c>
      <c r="K33">
        <v>335.29599999999999</v>
      </c>
      <c r="L33">
        <v>4</v>
      </c>
      <c r="M33">
        <v>6</v>
      </c>
      <c r="N33">
        <v>6</v>
      </c>
      <c r="O33">
        <v>452</v>
      </c>
      <c r="P33">
        <v>121</v>
      </c>
      <c r="Q33">
        <v>-1.8</v>
      </c>
    </row>
    <row r="34" spans="1:17">
      <c r="A34">
        <v>85.75</v>
      </c>
      <c r="B34">
        <v>31.75</v>
      </c>
      <c r="C34">
        <v>85.875</v>
      </c>
      <c r="D34">
        <v>7</v>
      </c>
      <c r="E34">
        <v>25</v>
      </c>
      <c r="F34">
        <v>2.4</v>
      </c>
      <c r="G34">
        <v>1</v>
      </c>
      <c r="H34">
        <v>1</v>
      </c>
      <c r="I34">
        <v>0</v>
      </c>
      <c r="J34">
        <v>-0.48099999999999998</v>
      </c>
      <c r="K34">
        <v>262.29199999999997</v>
      </c>
      <c r="L34">
        <v>0</v>
      </c>
      <c r="M34">
        <v>0</v>
      </c>
      <c r="N34">
        <v>3</v>
      </c>
      <c r="O34">
        <v>202</v>
      </c>
      <c r="P34">
        <v>0</v>
      </c>
      <c r="Q34">
        <v>4.5999999999999996</v>
      </c>
    </row>
    <row r="35" spans="1:17">
      <c r="A35">
        <v>800</v>
      </c>
      <c r="B35">
        <v>200</v>
      </c>
      <c r="C35">
        <v>1000</v>
      </c>
      <c r="D35">
        <v>7</v>
      </c>
      <c r="E35">
        <v>25</v>
      </c>
      <c r="F35">
        <v>2.4</v>
      </c>
      <c r="G35">
        <v>1</v>
      </c>
      <c r="H35">
        <v>1</v>
      </c>
      <c r="I35">
        <v>0</v>
      </c>
      <c r="J35">
        <v>-0.48099999999999998</v>
      </c>
      <c r="K35">
        <v>124.20099999999999</v>
      </c>
      <c r="L35">
        <v>1</v>
      </c>
      <c r="M35">
        <v>1</v>
      </c>
      <c r="N35">
        <v>0</v>
      </c>
      <c r="O35">
        <v>62.8</v>
      </c>
      <c r="P35">
        <v>1</v>
      </c>
      <c r="Q35">
        <v>2.9</v>
      </c>
    </row>
    <row r="36" spans="1:17">
      <c r="A36">
        <v>2</v>
      </c>
      <c r="B36">
        <v>1</v>
      </c>
      <c r="C36">
        <v>2</v>
      </c>
      <c r="D36">
        <v>11</v>
      </c>
      <c r="E36">
        <v>25</v>
      </c>
      <c r="F36">
        <v>80.400000000000006</v>
      </c>
      <c r="G36">
        <v>1</v>
      </c>
      <c r="H36">
        <v>0</v>
      </c>
      <c r="I36">
        <v>1</v>
      </c>
      <c r="J36">
        <v>-0.48099999999999998</v>
      </c>
      <c r="K36">
        <v>106.139</v>
      </c>
      <c r="L36">
        <v>2</v>
      </c>
      <c r="M36">
        <v>3</v>
      </c>
      <c r="N36">
        <v>2</v>
      </c>
      <c r="O36">
        <v>52.8</v>
      </c>
      <c r="P36">
        <v>38.299999999999997</v>
      </c>
      <c r="Q36">
        <v>0.4</v>
      </c>
    </row>
    <row r="37" spans="1:17">
      <c r="A37">
        <v>2</v>
      </c>
      <c r="B37">
        <v>1</v>
      </c>
      <c r="C37">
        <v>2</v>
      </c>
      <c r="D37">
        <v>11</v>
      </c>
      <c r="E37">
        <v>25</v>
      </c>
      <c r="F37">
        <v>80.400000000000006</v>
      </c>
      <c r="G37">
        <v>1</v>
      </c>
      <c r="H37">
        <v>0</v>
      </c>
      <c r="I37">
        <v>1</v>
      </c>
      <c r="J37">
        <v>-0.48099999999999998</v>
      </c>
      <c r="K37">
        <v>121.154</v>
      </c>
      <c r="L37">
        <v>3</v>
      </c>
      <c r="M37">
        <v>4</v>
      </c>
      <c r="N37">
        <v>2</v>
      </c>
      <c r="O37">
        <v>75.3</v>
      </c>
      <c r="P37">
        <v>64.3</v>
      </c>
      <c r="Q37">
        <v>-2.5</v>
      </c>
    </row>
    <row r="38" spans="1:17">
      <c r="A38">
        <v>2</v>
      </c>
      <c r="B38">
        <v>1</v>
      </c>
      <c r="C38">
        <v>2</v>
      </c>
      <c r="D38">
        <v>11</v>
      </c>
      <c r="E38">
        <v>25</v>
      </c>
      <c r="F38">
        <v>80.400000000000006</v>
      </c>
      <c r="G38">
        <v>1</v>
      </c>
      <c r="H38">
        <v>0</v>
      </c>
      <c r="I38">
        <v>1</v>
      </c>
      <c r="J38">
        <v>-0.48099999999999998</v>
      </c>
      <c r="K38">
        <v>135.18100000000001</v>
      </c>
      <c r="L38">
        <v>3</v>
      </c>
      <c r="M38">
        <v>4</v>
      </c>
      <c r="N38">
        <v>3</v>
      </c>
      <c r="O38">
        <v>86.1</v>
      </c>
      <c r="P38">
        <v>64.3</v>
      </c>
      <c r="Q38">
        <v>-3.4</v>
      </c>
    </row>
    <row r="39" spans="1:17">
      <c r="A39">
        <v>2</v>
      </c>
      <c r="B39">
        <v>1</v>
      </c>
      <c r="C39">
        <v>0</v>
      </c>
      <c r="D39">
        <v>12</v>
      </c>
      <c r="E39">
        <v>25</v>
      </c>
      <c r="F39">
        <v>80.400000000000006</v>
      </c>
      <c r="G39">
        <v>1</v>
      </c>
      <c r="H39">
        <v>0</v>
      </c>
      <c r="I39">
        <v>1</v>
      </c>
      <c r="J39">
        <v>-0.52</v>
      </c>
      <c r="K39">
        <v>106.139</v>
      </c>
      <c r="L39">
        <v>2</v>
      </c>
      <c r="M39">
        <v>3</v>
      </c>
      <c r="N39">
        <v>2</v>
      </c>
      <c r="O39">
        <v>52.8</v>
      </c>
      <c r="P39">
        <v>38.299999999999997</v>
      </c>
      <c r="Q39">
        <v>0.4</v>
      </c>
    </row>
    <row r="40" spans="1:17">
      <c r="A40">
        <v>2</v>
      </c>
      <c r="B40">
        <v>1</v>
      </c>
      <c r="C40">
        <v>0</v>
      </c>
      <c r="D40">
        <v>12</v>
      </c>
      <c r="E40">
        <v>25</v>
      </c>
      <c r="F40">
        <v>80.400000000000006</v>
      </c>
      <c r="G40">
        <v>1</v>
      </c>
      <c r="H40">
        <v>0</v>
      </c>
      <c r="I40">
        <v>1</v>
      </c>
      <c r="J40">
        <v>-0.52</v>
      </c>
      <c r="K40">
        <v>148.22</v>
      </c>
      <c r="L40">
        <v>2</v>
      </c>
      <c r="M40">
        <v>3</v>
      </c>
      <c r="N40">
        <v>5</v>
      </c>
      <c r="O40">
        <v>83.1</v>
      </c>
      <c r="P40">
        <v>38.299999999999997</v>
      </c>
      <c r="Q40">
        <v>0.6</v>
      </c>
    </row>
    <row r="41" spans="1:17">
      <c r="A41">
        <v>625</v>
      </c>
      <c r="B41">
        <v>125</v>
      </c>
      <c r="C41">
        <v>250</v>
      </c>
      <c r="D41">
        <v>7</v>
      </c>
      <c r="E41">
        <v>25</v>
      </c>
      <c r="F41">
        <v>7.4</v>
      </c>
      <c r="G41">
        <v>1</v>
      </c>
      <c r="H41">
        <v>1</v>
      </c>
      <c r="I41">
        <v>1</v>
      </c>
      <c r="J41">
        <v>-0.48099999999999998</v>
      </c>
      <c r="K41">
        <v>116.066</v>
      </c>
      <c r="L41">
        <v>1</v>
      </c>
      <c r="M41">
        <v>1</v>
      </c>
      <c r="N41">
        <v>0</v>
      </c>
      <c r="O41">
        <v>46.1</v>
      </c>
      <c r="P41">
        <v>1</v>
      </c>
      <c r="Q41">
        <v>2.7</v>
      </c>
    </row>
    <row r="42" spans="1:17">
      <c r="A42">
        <v>100</v>
      </c>
      <c r="B42">
        <v>25</v>
      </c>
      <c r="C42">
        <v>833.33333333333337</v>
      </c>
      <c r="D42">
        <v>7</v>
      </c>
      <c r="E42">
        <v>0</v>
      </c>
      <c r="F42">
        <v>20.7</v>
      </c>
      <c r="G42">
        <v>1</v>
      </c>
      <c r="H42">
        <v>0</v>
      </c>
      <c r="I42">
        <v>1</v>
      </c>
      <c r="J42">
        <v>-0.48099999999999998</v>
      </c>
      <c r="K42">
        <v>307.32100000000003</v>
      </c>
      <c r="L42">
        <v>6</v>
      </c>
      <c r="M42">
        <v>8</v>
      </c>
      <c r="N42">
        <v>9</v>
      </c>
      <c r="O42">
        <v>389</v>
      </c>
      <c r="P42">
        <v>160</v>
      </c>
      <c r="Q42">
        <v>-4.5</v>
      </c>
    </row>
    <row r="43" spans="1:17">
      <c r="A43">
        <v>2</v>
      </c>
      <c r="B43">
        <v>1</v>
      </c>
      <c r="C43">
        <v>0</v>
      </c>
      <c r="D43">
        <v>7</v>
      </c>
      <c r="E43">
        <v>25</v>
      </c>
      <c r="F43">
        <v>80.400000000000006</v>
      </c>
      <c r="G43">
        <v>1</v>
      </c>
      <c r="H43">
        <v>0</v>
      </c>
      <c r="I43">
        <v>1</v>
      </c>
      <c r="J43">
        <v>-0.52</v>
      </c>
      <c r="K43">
        <v>307.32100000000003</v>
      </c>
      <c r="L43">
        <v>6</v>
      </c>
      <c r="M43">
        <v>8</v>
      </c>
      <c r="N43">
        <v>9</v>
      </c>
      <c r="O43">
        <v>389</v>
      </c>
      <c r="P43">
        <v>160</v>
      </c>
      <c r="Q43">
        <v>-4.5</v>
      </c>
    </row>
    <row r="44" spans="1:17">
      <c r="A44">
        <v>2</v>
      </c>
      <c r="B44">
        <v>1</v>
      </c>
      <c r="C44">
        <v>0</v>
      </c>
      <c r="D44">
        <v>9</v>
      </c>
      <c r="E44">
        <v>25</v>
      </c>
      <c r="F44">
        <v>80.400000000000006</v>
      </c>
      <c r="G44">
        <v>1</v>
      </c>
      <c r="H44">
        <v>0</v>
      </c>
      <c r="I44">
        <v>1</v>
      </c>
      <c r="J44">
        <v>-0.52</v>
      </c>
      <c r="K44">
        <v>307.32100000000003</v>
      </c>
      <c r="L44">
        <v>6</v>
      </c>
      <c r="M44">
        <v>8</v>
      </c>
      <c r="N44">
        <v>9</v>
      </c>
      <c r="O44">
        <v>389</v>
      </c>
      <c r="P44">
        <v>160</v>
      </c>
      <c r="Q44">
        <v>-4.5</v>
      </c>
    </row>
    <row r="45" spans="1:17">
      <c r="A45">
        <v>2</v>
      </c>
      <c r="B45">
        <v>1</v>
      </c>
      <c r="C45">
        <v>0</v>
      </c>
      <c r="D45">
        <v>10</v>
      </c>
      <c r="E45">
        <v>25</v>
      </c>
      <c r="F45">
        <v>80.400000000000006</v>
      </c>
      <c r="G45">
        <v>1</v>
      </c>
      <c r="H45">
        <v>0</v>
      </c>
      <c r="I45">
        <v>1</v>
      </c>
      <c r="J45">
        <v>-0.52</v>
      </c>
      <c r="K45">
        <v>307.32100000000003</v>
      </c>
      <c r="L45">
        <v>6</v>
      </c>
      <c r="M45">
        <v>8</v>
      </c>
      <c r="N45">
        <v>9</v>
      </c>
      <c r="O45">
        <v>389</v>
      </c>
      <c r="P45">
        <v>160</v>
      </c>
      <c r="Q45">
        <v>-4.5</v>
      </c>
    </row>
    <row r="46" spans="1:17">
      <c r="A46">
        <v>2</v>
      </c>
      <c r="B46">
        <v>1</v>
      </c>
      <c r="C46">
        <v>0</v>
      </c>
      <c r="D46">
        <v>11</v>
      </c>
      <c r="E46">
        <v>25</v>
      </c>
      <c r="F46">
        <v>80.400000000000006</v>
      </c>
      <c r="G46">
        <v>1</v>
      </c>
      <c r="H46">
        <v>0</v>
      </c>
      <c r="I46">
        <v>1</v>
      </c>
      <c r="J46">
        <v>-0.52</v>
      </c>
      <c r="K46">
        <v>307.32100000000003</v>
      </c>
      <c r="L46">
        <v>6</v>
      </c>
      <c r="M46">
        <v>8</v>
      </c>
      <c r="N46">
        <v>9</v>
      </c>
      <c r="O46">
        <v>389</v>
      </c>
      <c r="P46">
        <v>160</v>
      </c>
      <c r="Q46">
        <v>-4.5</v>
      </c>
    </row>
    <row r="47" spans="1:17">
      <c r="A47">
        <v>2</v>
      </c>
      <c r="B47">
        <v>1</v>
      </c>
      <c r="C47">
        <v>0</v>
      </c>
      <c r="D47">
        <v>10</v>
      </c>
      <c r="E47">
        <v>25</v>
      </c>
      <c r="F47">
        <v>80.400000000000006</v>
      </c>
      <c r="G47">
        <v>1</v>
      </c>
      <c r="H47">
        <v>0</v>
      </c>
      <c r="I47">
        <v>1</v>
      </c>
      <c r="J47">
        <v>-0.52</v>
      </c>
      <c r="K47">
        <v>106.139</v>
      </c>
      <c r="L47">
        <v>2</v>
      </c>
      <c r="M47">
        <v>3</v>
      </c>
      <c r="N47">
        <v>2</v>
      </c>
      <c r="O47">
        <v>52.8</v>
      </c>
      <c r="P47">
        <v>38.299999999999997</v>
      </c>
      <c r="Q47">
        <v>0.4</v>
      </c>
    </row>
    <row r="48" spans="1:17">
      <c r="A48">
        <v>2</v>
      </c>
      <c r="B48">
        <v>1</v>
      </c>
      <c r="C48">
        <v>0</v>
      </c>
      <c r="D48">
        <v>11</v>
      </c>
      <c r="E48">
        <v>25</v>
      </c>
      <c r="F48">
        <v>80.400000000000006</v>
      </c>
      <c r="G48">
        <v>1</v>
      </c>
      <c r="H48">
        <v>0</v>
      </c>
      <c r="I48">
        <v>1</v>
      </c>
      <c r="J48">
        <v>-0.52</v>
      </c>
      <c r="K48">
        <v>106.139</v>
      </c>
      <c r="L48">
        <v>2</v>
      </c>
      <c r="M48">
        <v>3</v>
      </c>
      <c r="N48">
        <v>2</v>
      </c>
      <c r="O48">
        <v>52.8</v>
      </c>
      <c r="P48">
        <v>38.299999999999997</v>
      </c>
      <c r="Q48">
        <v>0.4</v>
      </c>
    </row>
    <row r="49" spans="1:17">
      <c r="A49">
        <v>2</v>
      </c>
      <c r="B49">
        <v>1</v>
      </c>
      <c r="C49">
        <v>0</v>
      </c>
      <c r="D49">
        <v>12</v>
      </c>
      <c r="E49">
        <v>25</v>
      </c>
      <c r="F49">
        <v>80.400000000000006</v>
      </c>
      <c r="G49">
        <v>1</v>
      </c>
      <c r="H49">
        <v>0</v>
      </c>
      <c r="I49">
        <v>1</v>
      </c>
      <c r="J49">
        <v>-0.52</v>
      </c>
      <c r="K49">
        <v>106.139</v>
      </c>
      <c r="L49">
        <v>2</v>
      </c>
      <c r="M49">
        <v>3</v>
      </c>
      <c r="N49">
        <v>2</v>
      </c>
      <c r="O49">
        <v>52.8</v>
      </c>
      <c r="P49">
        <v>38.299999999999997</v>
      </c>
      <c r="Q49">
        <v>0.4</v>
      </c>
    </row>
    <row r="50" spans="1:17">
      <c r="A50">
        <v>1021</v>
      </c>
      <c r="B50">
        <v>250</v>
      </c>
      <c r="C50">
        <v>50</v>
      </c>
      <c r="D50">
        <v>7</v>
      </c>
      <c r="E50">
        <v>25</v>
      </c>
      <c r="F50">
        <v>7.4</v>
      </c>
      <c r="G50">
        <v>1</v>
      </c>
      <c r="H50">
        <v>1</v>
      </c>
      <c r="I50">
        <v>1</v>
      </c>
      <c r="J50">
        <v>-0.48099999999999998</v>
      </c>
      <c r="K50">
        <v>116.066</v>
      </c>
      <c r="L50">
        <v>1</v>
      </c>
      <c r="M50">
        <v>1</v>
      </c>
      <c r="N50">
        <v>0</v>
      </c>
      <c r="O50">
        <v>46.1</v>
      </c>
      <c r="P50">
        <v>1</v>
      </c>
      <c r="Q50">
        <v>2.7</v>
      </c>
    </row>
    <row r="51" spans="1:17">
      <c r="A51">
        <v>333.33333333333331</v>
      </c>
      <c r="B51">
        <v>83.333333333333329</v>
      </c>
      <c r="C51">
        <v>250</v>
      </c>
      <c r="D51">
        <v>7</v>
      </c>
      <c r="E51">
        <v>0</v>
      </c>
      <c r="F51">
        <v>20.7</v>
      </c>
      <c r="G51">
        <v>1</v>
      </c>
      <c r="H51">
        <v>0</v>
      </c>
      <c r="I51">
        <v>1</v>
      </c>
      <c r="J51">
        <v>-0.48099999999999998</v>
      </c>
      <c r="K51">
        <v>307.32100000000003</v>
      </c>
      <c r="L51">
        <v>6</v>
      </c>
      <c r="M51">
        <v>8</v>
      </c>
      <c r="N51">
        <v>9</v>
      </c>
      <c r="O51">
        <v>389</v>
      </c>
      <c r="P51">
        <v>160</v>
      </c>
      <c r="Q51">
        <v>-4.5</v>
      </c>
    </row>
    <row r="52" spans="1:17">
      <c r="A52">
        <v>265</v>
      </c>
      <c r="B52">
        <v>50</v>
      </c>
      <c r="C52">
        <v>200</v>
      </c>
      <c r="D52">
        <v>7</v>
      </c>
      <c r="E52">
        <v>25</v>
      </c>
      <c r="F52">
        <v>32.6</v>
      </c>
      <c r="G52">
        <v>1</v>
      </c>
      <c r="H52">
        <v>1</v>
      </c>
      <c r="I52">
        <v>1</v>
      </c>
      <c r="J52">
        <v>-0.48099999999999998</v>
      </c>
      <c r="K52">
        <v>118.238</v>
      </c>
      <c r="L52">
        <v>1</v>
      </c>
      <c r="M52">
        <v>1</v>
      </c>
      <c r="N52">
        <v>4</v>
      </c>
      <c r="O52">
        <v>27.4</v>
      </c>
      <c r="P52">
        <v>1</v>
      </c>
      <c r="Q52">
        <v>3.3</v>
      </c>
    </row>
    <row r="53" spans="1:17">
      <c r="A53">
        <v>266.66666666666669</v>
      </c>
      <c r="B53">
        <v>50</v>
      </c>
      <c r="C53">
        <v>200</v>
      </c>
      <c r="D53">
        <v>7</v>
      </c>
      <c r="E53">
        <v>25</v>
      </c>
      <c r="F53">
        <v>32.6</v>
      </c>
      <c r="G53">
        <v>1</v>
      </c>
      <c r="H53">
        <v>1</v>
      </c>
      <c r="I53">
        <v>1</v>
      </c>
      <c r="J53">
        <v>-0.48099999999999998</v>
      </c>
      <c r="K53">
        <v>116.066</v>
      </c>
      <c r="L53">
        <v>1</v>
      </c>
      <c r="M53">
        <v>1</v>
      </c>
      <c r="N53">
        <v>0</v>
      </c>
      <c r="O53">
        <v>46.1</v>
      </c>
      <c r="P53">
        <v>1</v>
      </c>
      <c r="Q53">
        <v>2.7</v>
      </c>
    </row>
    <row r="54" spans="1:17">
      <c r="A54">
        <v>132.5</v>
      </c>
      <c r="B54">
        <v>25</v>
      </c>
      <c r="C54">
        <v>400</v>
      </c>
      <c r="D54">
        <v>7</v>
      </c>
      <c r="E54">
        <v>0</v>
      </c>
      <c r="F54">
        <v>32.6</v>
      </c>
      <c r="G54">
        <v>1</v>
      </c>
      <c r="H54">
        <v>1</v>
      </c>
      <c r="I54">
        <v>1</v>
      </c>
      <c r="J54">
        <v>-0.48099999999999998</v>
      </c>
      <c r="K54">
        <v>118.238</v>
      </c>
      <c r="L54">
        <v>1</v>
      </c>
      <c r="M54">
        <v>1</v>
      </c>
      <c r="N54">
        <v>4</v>
      </c>
      <c r="O54">
        <v>27.4</v>
      </c>
      <c r="P54">
        <v>1</v>
      </c>
      <c r="Q54">
        <v>3.3</v>
      </c>
    </row>
    <row r="55" spans="1:17">
      <c r="A55">
        <v>84</v>
      </c>
      <c r="B55">
        <v>42</v>
      </c>
      <c r="C55">
        <v>140</v>
      </c>
      <c r="D55">
        <v>7</v>
      </c>
      <c r="E55">
        <v>25</v>
      </c>
      <c r="F55">
        <v>8.93</v>
      </c>
      <c r="G55">
        <v>1</v>
      </c>
      <c r="H55">
        <v>1</v>
      </c>
      <c r="I55">
        <v>0</v>
      </c>
      <c r="J55">
        <v>-0.48099999999999998</v>
      </c>
      <c r="K55">
        <v>110.17400000000001</v>
      </c>
      <c r="L55">
        <v>1</v>
      </c>
      <c r="M55">
        <v>1</v>
      </c>
      <c r="N55">
        <v>0</v>
      </c>
      <c r="O55">
        <v>46.1</v>
      </c>
      <c r="P55">
        <v>1</v>
      </c>
      <c r="Q55">
        <v>2.5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tures_d"/>
  <dimension ref="A1:C55"/>
  <sheetViews>
    <sheetView topLeftCell="A43" workbookViewId="0">
      <selection activeCell="F21" sqref="F21"/>
    </sheetView>
  </sheetViews>
  <sheetFormatPr defaultRowHeight="15"/>
  <cols>
    <col min="2" max="2" width="52.42578125" bestFit="1" customWidth="1"/>
  </cols>
  <sheetData>
    <row r="1" spans="1:3">
      <c r="A1" t="s">
        <v>16</v>
      </c>
      <c r="B1" t="s">
        <v>27</v>
      </c>
      <c r="C1" t="s">
        <v>298</v>
      </c>
    </row>
    <row r="2" spans="1:3">
      <c r="A2" t="s">
        <v>260</v>
      </c>
      <c r="B2" t="s">
        <v>265</v>
      </c>
      <c r="C2" t="s">
        <v>287</v>
      </c>
    </row>
    <row r="3" spans="1:3">
      <c r="A3" t="s">
        <v>260</v>
      </c>
      <c r="B3" t="s">
        <v>265</v>
      </c>
      <c r="C3" t="s">
        <v>287</v>
      </c>
    </row>
    <row r="4" spans="1:3">
      <c r="A4" t="s">
        <v>260</v>
      </c>
      <c r="B4" t="s">
        <v>265</v>
      </c>
      <c r="C4" t="s">
        <v>287</v>
      </c>
    </row>
    <row r="5" spans="1:3">
      <c r="A5" t="s">
        <v>260</v>
      </c>
      <c r="B5" t="s">
        <v>265</v>
      </c>
      <c r="C5" t="s">
        <v>287</v>
      </c>
    </row>
    <row r="6" spans="1:3">
      <c r="A6" t="s">
        <v>260</v>
      </c>
      <c r="B6" t="s">
        <v>265</v>
      </c>
      <c r="C6" t="s">
        <v>287</v>
      </c>
    </row>
    <row r="7" spans="1:3">
      <c r="A7" t="s">
        <v>260</v>
      </c>
      <c r="B7" t="s">
        <v>266</v>
      </c>
      <c r="C7" t="s">
        <v>287</v>
      </c>
    </row>
    <row r="8" spans="1:3">
      <c r="A8" t="s">
        <v>260</v>
      </c>
      <c r="B8" t="s">
        <v>266</v>
      </c>
      <c r="C8" t="s">
        <v>287</v>
      </c>
    </row>
    <row r="9" spans="1:3">
      <c r="A9" t="s">
        <v>260</v>
      </c>
      <c r="B9" t="s">
        <v>266</v>
      </c>
      <c r="C9" t="s">
        <v>287</v>
      </c>
    </row>
    <row r="10" spans="1:3">
      <c r="A10" t="s">
        <v>260</v>
      </c>
      <c r="B10" t="s">
        <v>266</v>
      </c>
      <c r="C10" t="s">
        <v>287</v>
      </c>
    </row>
    <row r="11" spans="1:3">
      <c r="A11" t="s">
        <v>260</v>
      </c>
      <c r="B11" t="s">
        <v>266</v>
      </c>
      <c r="C11" t="s">
        <v>287</v>
      </c>
    </row>
    <row r="12" spans="1:3">
      <c r="A12" t="s">
        <v>260</v>
      </c>
      <c r="B12" t="s">
        <v>266</v>
      </c>
      <c r="C12" t="s">
        <v>287</v>
      </c>
    </row>
    <row r="13" spans="1:3">
      <c r="A13" t="s">
        <v>260</v>
      </c>
      <c r="B13" t="s">
        <v>266</v>
      </c>
      <c r="C13" t="s">
        <v>287</v>
      </c>
    </row>
    <row r="14" spans="1:3">
      <c r="A14" t="s">
        <v>260</v>
      </c>
      <c r="B14" t="s">
        <v>266</v>
      </c>
      <c r="C14" t="s">
        <v>287</v>
      </c>
    </row>
    <row r="15" spans="1:3">
      <c r="A15" t="s">
        <v>260</v>
      </c>
      <c r="B15" t="s">
        <v>266</v>
      </c>
      <c r="C15" t="s">
        <v>287</v>
      </c>
    </row>
    <row r="16" spans="1:3">
      <c r="A16" t="s">
        <v>260</v>
      </c>
      <c r="B16" t="s">
        <v>266</v>
      </c>
      <c r="C16" t="s">
        <v>287</v>
      </c>
    </row>
    <row r="17" spans="1:3">
      <c r="A17" t="s">
        <v>260</v>
      </c>
      <c r="B17" t="s">
        <v>266</v>
      </c>
      <c r="C17" t="s">
        <v>287</v>
      </c>
    </row>
    <row r="18" spans="1:3">
      <c r="A18" t="s">
        <v>260</v>
      </c>
      <c r="B18" t="s">
        <v>266</v>
      </c>
      <c r="C18" t="s">
        <v>287</v>
      </c>
    </row>
    <row r="19" spans="1:3">
      <c r="A19" t="s">
        <v>260</v>
      </c>
      <c r="B19" t="s">
        <v>266</v>
      </c>
      <c r="C19" t="s">
        <v>287</v>
      </c>
    </row>
    <row r="20" spans="1:3">
      <c r="A20" t="s">
        <v>260</v>
      </c>
      <c r="B20" t="s">
        <v>267</v>
      </c>
      <c r="C20" t="s">
        <v>287</v>
      </c>
    </row>
    <row r="21" spans="1:3">
      <c r="A21" t="s">
        <v>260</v>
      </c>
      <c r="B21" t="s">
        <v>267</v>
      </c>
      <c r="C21" t="s">
        <v>287</v>
      </c>
    </row>
    <row r="22" spans="1:3">
      <c r="A22" t="s">
        <v>260</v>
      </c>
      <c r="B22" t="s">
        <v>267</v>
      </c>
      <c r="C22" t="s">
        <v>287</v>
      </c>
    </row>
    <row r="23" spans="1:3">
      <c r="A23" t="s">
        <v>260</v>
      </c>
      <c r="B23" t="s">
        <v>267</v>
      </c>
      <c r="C23" t="s">
        <v>287</v>
      </c>
    </row>
    <row r="24" spans="1:3">
      <c r="A24" t="s">
        <v>260</v>
      </c>
      <c r="B24" t="s">
        <v>267</v>
      </c>
      <c r="C24" t="s">
        <v>287</v>
      </c>
    </row>
    <row r="25" spans="1:3">
      <c r="A25" t="s">
        <v>260</v>
      </c>
      <c r="B25" t="s">
        <v>267</v>
      </c>
      <c r="C25" t="s">
        <v>287</v>
      </c>
    </row>
    <row r="26" spans="1:3">
      <c r="A26" t="s">
        <v>260</v>
      </c>
      <c r="B26" t="s">
        <v>267</v>
      </c>
      <c r="C26" t="s">
        <v>287</v>
      </c>
    </row>
    <row r="27" spans="1:3">
      <c r="A27" t="s">
        <v>260</v>
      </c>
      <c r="B27" t="s">
        <v>267</v>
      </c>
      <c r="C27" t="s">
        <v>287</v>
      </c>
    </row>
    <row r="28" spans="1:3">
      <c r="A28" t="s">
        <v>260</v>
      </c>
      <c r="B28" t="s">
        <v>267</v>
      </c>
      <c r="C28" t="s">
        <v>287</v>
      </c>
    </row>
    <row r="29" spans="1:3">
      <c r="A29" t="s">
        <v>261</v>
      </c>
      <c r="B29" t="s">
        <v>271</v>
      </c>
      <c r="C29" t="s">
        <v>287</v>
      </c>
    </row>
    <row r="30" spans="1:3">
      <c r="A30" t="s">
        <v>259</v>
      </c>
      <c r="B30" t="s">
        <v>271</v>
      </c>
      <c r="C30" t="s">
        <v>287</v>
      </c>
    </row>
    <row r="31" spans="1:3">
      <c r="A31" t="s">
        <v>48</v>
      </c>
      <c r="B31" t="s">
        <v>275</v>
      </c>
      <c r="C31" t="s">
        <v>287</v>
      </c>
    </row>
    <row r="32" spans="1:3">
      <c r="A32" t="s">
        <v>48</v>
      </c>
      <c r="B32" t="s">
        <v>266</v>
      </c>
      <c r="C32" t="s">
        <v>287</v>
      </c>
    </row>
    <row r="33" spans="1:3">
      <c r="A33" t="s">
        <v>263</v>
      </c>
      <c r="B33" t="s">
        <v>266</v>
      </c>
      <c r="C33" t="s">
        <v>288</v>
      </c>
    </row>
    <row r="34" spans="1:3">
      <c r="A34" t="s">
        <v>261</v>
      </c>
      <c r="B34" t="s">
        <v>269</v>
      </c>
      <c r="C34" t="s">
        <v>287</v>
      </c>
    </row>
    <row r="35" spans="1:3">
      <c r="A35" t="s">
        <v>261</v>
      </c>
      <c r="B35" t="s">
        <v>286</v>
      </c>
      <c r="C35" t="s">
        <v>287</v>
      </c>
    </row>
    <row r="36" spans="1:3">
      <c r="A36" t="s">
        <v>260</v>
      </c>
      <c r="B36" t="s">
        <v>268</v>
      </c>
      <c r="C36" t="s">
        <v>287</v>
      </c>
    </row>
    <row r="37" spans="1:3">
      <c r="A37" t="s">
        <v>260</v>
      </c>
      <c r="B37" t="s">
        <v>276</v>
      </c>
      <c r="C37" t="s">
        <v>287</v>
      </c>
    </row>
    <row r="38" spans="1:3">
      <c r="A38" t="s">
        <v>260</v>
      </c>
      <c r="B38" t="s">
        <v>279</v>
      </c>
      <c r="C38" t="s">
        <v>287</v>
      </c>
    </row>
    <row r="39" spans="1:3">
      <c r="A39" t="s">
        <v>260</v>
      </c>
      <c r="B39" t="s">
        <v>268</v>
      </c>
      <c r="C39" t="s">
        <v>288</v>
      </c>
    </row>
    <row r="40" spans="1:3">
      <c r="A40" t="s">
        <v>260</v>
      </c>
      <c r="B40" t="s">
        <v>265</v>
      </c>
      <c r="C40" t="s">
        <v>288</v>
      </c>
    </row>
    <row r="41" spans="1:3">
      <c r="A41" t="s">
        <v>259</v>
      </c>
      <c r="B41" t="s">
        <v>284</v>
      </c>
      <c r="C41" t="s">
        <v>287</v>
      </c>
    </row>
    <row r="42" spans="1:3">
      <c r="A42" t="s">
        <v>262</v>
      </c>
      <c r="B42" t="s">
        <v>283</v>
      </c>
      <c r="C42" t="s">
        <v>287</v>
      </c>
    </row>
    <row r="43" spans="1:3">
      <c r="A43" t="s">
        <v>260</v>
      </c>
      <c r="B43" t="s">
        <v>283</v>
      </c>
      <c r="C43" t="s">
        <v>288</v>
      </c>
    </row>
    <row r="44" spans="1:3">
      <c r="A44" t="s">
        <v>260</v>
      </c>
      <c r="B44" t="s">
        <v>283</v>
      </c>
      <c r="C44" t="s">
        <v>288</v>
      </c>
    </row>
    <row r="45" spans="1:3">
      <c r="A45" t="s">
        <v>260</v>
      </c>
      <c r="B45" t="s">
        <v>283</v>
      </c>
      <c r="C45" t="s">
        <v>288</v>
      </c>
    </row>
    <row r="46" spans="1:3">
      <c r="A46" t="s">
        <v>260</v>
      </c>
      <c r="B46" t="s">
        <v>283</v>
      </c>
      <c r="C46" t="s">
        <v>288</v>
      </c>
    </row>
    <row r="47" spans="1:3">
      <c r="A47" t="s">
        <v>260</v>
      </c>
      <c r="B47" t="s">
        <v>268</v>
      </c>
      <c r="C47" t="s">
        <v>288</v>
      </c>
    </row>
    <row r="48" spans="1:3">
      <c r="A48" t="s">
        <v>260</v>
      </c>
      <c r="B48" t="s">
        <v>268</v>
      </c>
      <c r="C48" t="s">
        <v>288</v>
      </c>
    </row>
    <row r="49" spans="1:3">
      <c r="A49" t="s">
        <v>260</v>
      </c>
      <c r="B49" t="s">
        <v>268</v>
      </c>
      <c r="C49" t="s">
        <v>288</v>
      </c>
    </row>
    <row r="50" spans="1:3">
      <c r="A50" t="s">
        <v>264</v>
      </c>
      <c r="B50" t="s">
        <v>284</v>
      </c>
      <c r="C50" t="s">
        <v>287</v>
      </c>
    </row>
    <row r="51" spans="1:3">
      <c r="A51" t="s">
        <v>262</v>
      </c>
      <c r="B51" t="s">
        <v>283</v>
      </c>
      <c r="C51" t="s">
        <v>287</v>
      </c>
    </row>
    <row r="52" spans="1:3">
      <c r="A52" t="s">
        <v>48</v>
      </c>
      <c r="B52" t="s">
        <v>328</v>
      </c>
      <c r="C52" t="s">
        <v>287</v>
      </c>
    </row>
    <row r="53" spans="1:3">
      <c r="A53" t="s">
        <v>48</v>
      </c>
      <c r="B53" t="s">
        <v>284</v>
      </c>
      <c r="C53" t="s">
        <v>287</v>
      </c>
    </row>
    <row r="54" spans="1:3">
      <c r="A54" t="s">
        <v>48</v>
      </c>
      <c r="B54" t="s">
        <v>328</v>
      </c>
      <c r="C54" t="s">
        <v>287</v>
      </c>
    </row>
    <row r="55" spans="1:3">
      <c r="A55" t="s">
        <v>264</v>
      </c>
      <c r="B55" t="s">
        <v>330</v>
      </c>
      <c r="C55" t="s">
        <v>287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bels"/>
  <dimension ref="A1:A55"/>
  <sheetViews>
    <sheetView topLeftCell="A28" workbookViewId="0">
      <selection activeCell="J31" sqref="J31"/>
    </sheetView>
  </sheetViews>
  <sheetFormatPr defaultRowHeight="15"/>
  <sheetData>
    <row r="1" spans="1:1">
      <c r="A1" t="s">
        <v>220</v>
      </c>
    </row>
    <row r="2" spans="1:1">
      <c r="A2">
        <v>1</v>
      </c>
    </row>
    <row r="3" spans="1:1">
      <c r="A3">
        <v>1</v>
      </c>
    </row>
    <row r="4" spans="1:1">
      <c r="A4">
        <v>1</v>
      </c>
    </row>
    <row r="5" spans="1:1">
      <c r="A5">
        <v>0</v>
      </c>
    </row>
    <row r="6" spans="1:1">
      <c r="A6">
        <v>0</v>
      </c>
    </row>
    <row r="7" spans="1:1">
      <c r="A7">
        <v>1</v>
      </c>
    </row>
    <row r="8" spans="1:1">
      <c r="A8">
        <v>0</v>
      </c>
    </row>
    <row r="9" spans="1:1">
      <c r="A9">
        <v>0</v>
      </c>
    </row>
    <row r="10" spans="1:1">
      <c r="A10">
        <v>0</v>
      </c>
    </row>
    <row r="11" spans="1:1">
      <c r="A11">
        <v>0</v>
      </c>
    </row>
    <row r="12" spans="1:1">
      <c r="A12">
        <v>0</v>
      </c>
    </row>
    <row r="13" spans="1:1">
      <c r="A13">
        <v>0</v>
      </c>
    </row>
    <row r="14" spans="1:1">
      <c r="A14">
        <v>0</v>
      </c>
    </row>
    <row r="15" spans="1:1">
      <c r="A15">
        <v>0</v>
      </c>
    </row>
    <row r="16" spans="1:1">
      <c r="A16">
        <v>0</v>
      </c>
    </row>
    <row r="17" spans="1:1">
      <c r="A17">
        <v>0</v>
      </c>
    </row>
    <row r="18" spans="1:1">
      <c r="A18">
        <v>0</v>
      </c>
    </row>
    <row r="19" spans="1:1">
      <c r="A19">
        <v>0</v>
      </c>
    </row>
    <row r="20" spans="1:1">
      <c r="A20">
        <v>1</v>
      </c>
    </row>
    <row r="21" spans="1:1">
      <c r="A21">
        <v>0</v>
      </c>
    </row>
    <row r="22" spans="1:1">
      <c r="A22">
        <v>0</v>
      </c>
    </row>
    <row r="23" spans="1:1">
      <c r="A23">
        <v>0</v>
      </c>
    </row>
    <row r="24" spans="1:1">
      <c r="A24">
        <v>0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0</v>
      </c>
    </row>
    <row r="29" spans="1:1">
      <c r="A29">
        <v>1</v>
      </c>
    </row>
    <row r="30" spans="1:1">
      <c r="A30">
        <v>1</v>
      </c>
    </row>
    <row r="31" spans="1:1">
      <c r="A31">
        <v>0</v>
      </c>
    </row>
    <row r="32" spans="1:1">
      <c r="A32">
        <v>0</v>
      </c>
    </row>
    <row r="33" spans="1:1">
      <c r="A33">
        <v>0</v>
      </c>
    </row>
    <row r="34" spans="1:1">
      <c r="A34">
        <v>1</v>
      </c>
    </row>
    <row r="35" spans="1:1">
      <c r="A35">
        <v>1</v>
      </c>
    </row>
    <row r="36" spans="1:1">
      <c r="A36">
        <v>1</v>
      </c>
    </row>
    <row r="37" spans="1:1">
      <c r="A37">
        <v>1</v>
      </c>
    </row>
    <row r="38" spans="1:1">
      <c r="A38">
        <v>1</v>
      </c>
    </row>
    <row r="39" spans="1:1">
      <c r="A39">
        <v>1</v>
      </c>
    </row>
    <row r="40" spans="1:1">
      <c r="A40">
        <v>1</v>
      </c>
    </row>
    <row r="41" spans="1:1">
      <c r="A41">
        <v>0</v>
      </c>
    </row>
    <row r="42" spans="1:1">
      <c r="A42">
        <v>1</v>
      </c>
    </row>
    <row r="43" spans="1:1">
      <c r="A43">
        <v>1</v>
      </c>
    </row>
    <row r="44" spans="1:1">
      <c r="A44">
        <v>1</v>
      </c>
    </row>
    <row r="45" spans="1:1">
      <c r="A45">
        <v>1</v>
      </c>
    </row>
    <row r="46" spans="1:1">
      <c r="A46">
        <v>1</v>
      </c>
    </row>
    <row r="47" spans="1:1">
      <c r="A47">
        <v>1</v>
      </c>
    </row>
    <row r="48" spans="1:1">
      <c r="A48">
        <v>1</v>
      </c>
    </row>
    <row r="49" spans="1:1">
      <c r="A49">
        <v>1</v>
      </c>
    </row>
    <row r="50" spans="1:1">
      <c r="A50">
        <v>1</v>
      </c>
    </row>
    <row r="51" spans="1:1">
      <c r="A51">
        <v>0</v>
      </c>
    </row>
    <row r="52" spans="1:1">
      <c r="A52">
        <v>0</v>
      </c>
    </row>
    <row r="53" spans="1:1">
      <c r="A53">
        <v>1</v>
      </c>
    </row>
    <row r="54" spans="1:1">
      <c r="A54">
        <v>1</v>
      </c>
    </row>
    <row r="55" spans="1:1">
      <c r="A5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tures_c1"/>
  <dimension ref="A1:W55"/>
  <sheetViews>
    <sheetView workbookViewId="0">
      <selection activeCell="G17" sqref="G17"/>
    </sheetView>
  </sheetViews>
  <sheetFormatPr defaultRowHeight="15"/>
  <cols>
    <col min="6" max="6" width="14.7109375" customWidth="1"/>
    <col min="11" max="15" width="14.7109375" customWidth="1"/>
  </cols>
  <sheetData>
    <row r="1" spans="1:23">
      <c r="A1" t="s">
        <v>291</v>
      </c>
      <c r="B1" t="s">
        <v>292</v>
      </c>
      <c r="C1" t="s">
        <v>293</v>
      </c>
      <c r="D1" t="s">
        <v>1</v>
      </c>
      <c r="E1" t="s">
        <v>224</v>
      </c>
      <c r="F1" t="s">
        <v>336</v>
      </c>
      <c r="G1" t="s">
        <v>339</v>
      </c>
      <c r="H1" t="s">
        <v>338</v>
      </c>
      <c r="I1" t="s">
        <v>340</v>
      </c>
      <c r="J1" t="s">
        <v>337</v>
      </c>
      <c r="K1" t="s">
        <v>49</v>
      </c>
      <c r="L1" t="s">
        <v>50</v>
      </c>
      <c r="M1" t="s">
        <v>51</v>
      </c>
      <c r="N1" t="s">
        <v>52</v>
      </c>
      <c r="O1" t="s">
        <v>233</v>
      </c>
      <c r="P1" t="s">
        <v>232</v>
      </c>
      <c r="Q1" t="s">
        <v>49</v>
      </c>
      <c r="R1" t="s">
        <v>50</v>
      </c>
      <c r="S1" t="s">
        <v>51</v>
      </c>
      <c r="T1" t="s">
        <v>52</v>
      </c>
      <c r="U1" t="s">
        <v>233</v>
      </c>
      <c r="V1" t="s">
        <v>232</v>
      </c>
      <c r="W1" t="s">
        <v>53</v>
      </c>
    </row>
    <row r="2" spans="1:23">
      <c r="A2">
        <v>2.2471910112359552</v>
      </c>
      <c r="B2">
        <v>1.1235955056179776</v>
      </c>
      <c r="C2">
        <v>2.7325842696629219</v>
      </c>
      <c r="D2">
        <v>12.5</v>
      </c>
      <c r="E2">
        <v>22</v>
      </c>
      <c r="F2">
        <v>80.400000000000006</v>
      </c>
      <c r="G2">
        <v>1</v>
      </c>
      <c r="H2">
        <v>0</v>
      </c>
      <c r="I2">
        <v>1</v>
      </c>
      <c r="J2">
        <v>-0.48099999999999998</v>
      </c>
      <c r="K2">
        <v>18.015000000000001</v>
      </c>
      <c r="L2">
        <v>1</v>
      </c>
      <c r="M2">
        <v>1</v>
      </c>
      <c r="N2">
        <v>0</v>
      </c>
      <c r="O2">
        <v>0</v>
      </c>
      <c r="P2">
        <v>1</v>
      </c>
      <c r="Q2">
        <v>148.22</v>
      </c>
      <c r="R2">
        <v>2</v>
      </c>
      <c r="S2">
        <v>3</v>
      </c>
      <c r="T2">
        <v>5</v>
      </c>
      <c r="U2">
        <v>83.1</v>
      </c>
      <c r="V2">
        <v>38.299999999999997</v>
      </c>
      <c r="W2">
        <v>0.6</v>
      </c>
    </row>
    <row r="3" spans="1:23">
      <c r="A3">
        <v>2.2471910112359552</v>
      </c>
      <c r="B3">
        <v>1.1235955056179776</v>
      </c>
      <c r="C3">
        <v>2.7325842696629219</v>
      </c>
      <c r="D3">
        <v>12.5</v>
      </c>
      <c r="E3">
        <v>30</v>
      </c>
      <c r="F3">
        <v>80.400000000000006</v>
      </c>
      <c r="G3">
        <v>1</v>
      </c>
      <c r="H3">
        <v>0</v>
      </c>
      <c r="I3">
        <v>1</v>
      </c>
      <c r="J3">
        <v>-0.48099999999999998</v>
      </c>
      <c r="K3">
        <v>18.015000000000001</v>
      </c>
      <c r="L3">
        <v>1</v>
      </c>
      <c r="M3">
        <v>1</v>
      </c>
      <c r="N3">
        <v>0</v>
      </c>
      <c r="O3">
        <v>0</v>
      </c>
      <c r="P3">
        <v>1</v>
      </c>
      <c r="Q3">
        <v>148.22</v>
      </c>
      <c r="R3">
        <v>2</v>
      </c>
      <c r="S3">
        <v>3</v>
      </c>
      <c r="T3">
        <v>5</v>
      </c>
      <c r="U3">
        <v>83.1</v>
      </c>
      <c r="V3">
        <v>38.299999999999997</v>
      </c>
      <c r="W3">
        <v>0.6</v>
      </c>
    </row>
    <row r="4" spans="1:23">
      <c r="A4">
        <v>2.2471910112359552</v>
      </c>
      <c r="B4">
        <v>1.1235955056179776</v>
      </c>
      <c r="C4">
        <v>2.7325842696629219</v>
      </c>
      <c r="D4">
        <v>12.5</v>
      </c>
      <c r="E4">
        <v>40</v>
      </c>
      <c r="F4">
        <v>80.400000000000006</v>
      </c>
      <c r="G4">
        <v>1</v>
      </c>
      <c r="H4">
        <v>0</v>
      </c>
      <c r="I4">
        <v>1</v>
      </c>
      <c r="J4">
        <v>-0.48099999999999998</v>
      </c>
      <c r="K4">
        <v>18.015000000000001</v>
      </c>
      <c r="L4">
        <v>1</v>
      </c>
      <c r="M4">
        <v>1</v>
      </c>
      <c r="N4">
        <v>0</v>
      </c>
      <c r="O4">
        <v>0</v>
      </c>
      <c r="P4">
        <v>1</v>
      </c>
      <c r="Q4">
        <v>148.22</v>
      </c>
      <c r="R4">
        <v>2</v>
      </c>
      <c r="S4">
        <v>3</v>
      </c>
      <c r="T4">
        <v>5</v>
      </c>
      <c r="U4">
        <v>83.1</v>
      </c>
      <c r="V4">
        <v>38.299999999999997</v>
      </c>
      <c r="W4">
        <v>0.6</v>
      </c>
    </row>
    <row r="5" spans="1:23">
      <c r="A5">
        <v>2.2471910112359552</v>
      </c>
      <c r="B5">
        <v>1.1235955056179776</v>
      </c>
      <c r="C5">
        <v>2.7325842696629219</v>
      </c>
      <c r="D5">
        <v>12.5</v>
      </c>
      <c r="E5">
        <v>50</v>
      </c>
      <c r="F5">
        <v>80.400000000000006</v>
      </c>
      <c r="G5">
        <v>1</v>
      </c>
      <c r="H5">
        <v>0</v>
      </c>
      <c r="I5">
        <v>1</v>
      </c>
      <c r="J5">
        <v>-0.48099999999999998</v>
      </c>
      <c r="K5">
        <v>18.015000000000001</v>
      </c>
      <c r="L5">
        <v>1</v>
      </c>
      <c r="M5">
        <v>1</v>
      </c>
      <c r="N5">
        <v>0</v>
      </c>
      <c r="O5">
        <v>0</v>
      </c>
      <c r="P5">
        <v>1</v>
      </c>
      <c r="Q5">
        <v>148.22</v>
      </c>
      <c r="R5">
        <v>2</v>
      </c>
      <c r="S5">
        <v>3</v>
      </c>
      <c r="T5">
        <v>5</v>
      </c>
      <c r="U5">
        <v>83.1</v>
      </c>
      <c r="V5">
        <v>38.299999999999997</v>
      </c>
      <c r="W5">
        <v>0.6</v>
      </c>
    </row>
    <row r="6" spans="1:23">
      <c r="A6">
        <v>2.2471910112359552</v>
      </c>
      <c r="B6">
        <v>1.1235955056179776</v>
      </c>
      <c r="C6">
        <v>2.7325842696629219</v>
      </c>
      <c r="D6">
        <v>12.5</v>
      </c>
      <c r="E6">
        <v>60</v>
      </c>
      <c r="F6">
        <v>80.400000000000006</v>
      </c>
      <c r="G6">
        <v>1</v>
      </c>
      <c r="H6">
        <v>0</v>
      </c>
      <c r="I6">
        <v>1</v>
      </c>
      <c r="J6">
        <v>-0.48099999999999998</v>
      </c>
      <c r="K6">
        <v>18.015000000000001</v>
      </c>
      <c r="L6">
        <v>1</v>
      </c>
      <c r="M6">
        <v>1</v>
      </c>
      <c r="N6">
        <v>0</v>
      </c>
      <c r="O6">
        <v>0</v>
      </c>
      <c r="P6">
        <v>1</v>
      </c>
      <c r="Q6">
        <v>148.22</v>
      </c>
      <c r="R6">
        <v>2</v>
      </c>
      <c r="S6">
        <v>3</v>
      </c>
      <c r="T6">
        <v>5</v>
      </c>
      <c r="U6">
        <v>83.1</v>
      </c>
      <c r="V6">
        <v>38.299999999999997</v>
      </c>
      <c r="W6">
        <v>0.6</v>
      </c>
    </row>
    <row r="7" spans="1:23">
      <c r="A7">
        <v>2.1026072329688814</v>
      </c>
      <c r="B7">
        <v>1.0513036164844407</v>
      </c>
      <c r="C7">
        <v>3.2800672834314551E-2</v>
      </c>
      <c r="D7">
        <v>11.5</v>
      </c>
      <c r="E7">
        <v>22</v>
      </c>
      <c r="F7">
        <v>80.400000000000006</v>
      </c>
      <c r="G7">
        <v>0</v>
      </c>
      <c r="H7">
        <v>0</v>
      </c>
      <c r="I7">
        <v>0</v>
      </c>
      <c r="J7">
        <v>-0.48099999999999998</v>
      </c>
      <c r="K7">
        <v>18.015000000000001</v>
      </c>
      <c r="L7">
        <v>1</v>
      </c>
      <c r="M7">
        <v>1</v>
      </c>
      <c r="N7">
        <v>0</v>
      </c>
      <c r="O7">
        <v>0</v>
      </c>
      <c r="P7">
        <v>1</v>
      </c>
      <c r="Q7">
        <v>335.29599999999999</v>
      </c>
      <c r="R7">
        <v>4</v>
      </c>
      <c r="S7">
        <v>6</v>
      </c>
      <c r="T7">
        <v>6</v>
      </c>
      <c r="U7">
        <v>452</v>
      </c>
      <c r="V7">
        <v>121</v>
      </c>
      <c r="W7">
        <v>-1.8</v>
      </c>
    </row>
    <row r="8" spans="1:23">
      <c r="A8">
        <v>2.1276595744680851</v>
      </c>
      <c r="B8">
        <v>1.0638297872340425</v>
      </c>
      <c r="C8">
        <v>2.1276595744680851E-2</v>
      </c>
      <c r="D8">
        <v>11.5</v>
      </c>
      <c r="E8">
        <v>22</v>
      </c>
      <c r="F8">
        <v>80.400000000000006</v>
      </c>
      <c r="G8">
        <v>0</v>
      </c>
      <c r="H8">
        <v>0</v>
      </c>
      <c r="I8">
        <v>0</v>
      </c>
      <c r="J8">
        <v>-0.48099999999999998</v>
      </c>
      <c r="K8">
        <v>18.015000000000001</v>
      </c>
      <c r="L8">
        <v>1</v>
      </c>
      <c r="M8">
        <v>1</v>
      </c>
      <c r="N8">
        <v>0</v>
      </c>
      <c r="O8">
        <v>0</v>
      </c>
      <c r="P8">
        <v>1</v>
      </c>
      <c r="Q8">
        <v>335.29599999999999</v>
      </c>
      <c r="R8">
        <v>4</v>
      </c>
      <c r="S8">
        <v>6</v>
      </c>
      <c r="T8">
        <v>6</v>
      </c>
      <c r="U8">
        <v>452</v>
      </c>
      <c r="V8">
        <v>121</v>
      </c>
      <c r="W8">
        <v>-1.8</v>
      </c>
    </row>
    <row r="9" spans="1:23">
      <c r="A9">
        <v>2.083333333333333</v>
      </c>
      <c r="B9">
        <v>1.0416666666666665</v>
      </c>
      <c r="C9">
        <v>4.1666666666666664E-2</v>
      </c>
      <c r="D9">
        <v>11.5</v>
      </c>
      <c r="E9">
        <v>22</v>
      </c>
      <c r="F9">
        <v>80.400000000000006</v>
      </c>
      <c r="G9">
        <v>0</v>
      </c>
      <c r="H9">
        <v>0</v>
      </c>
      <c r="I9">
        <v>0</v>
      </c>
      <c r="J9">
        <v>-0.48099999999999998</v>
      </c>
      <c r="K9">
        <v>18.015000000000001</v>
      </c>
      <c r="L9">
        <v>1</v>
      </c>
      <c r="M9">
        <v>1</v>
      </c>
      <c r="N9">
        <v>0</v>
      </c>
      <c r="O9">
        <v>0</v>
      </c>
      <c r="P9">
        <v>1</v>
      </c>
      <c r="Q9">
        <v>335.29599999999999</v>
      </c>
      <c r="R9">
        <v>4</v>
      </c>
      <c r="S9">
        <v>6</v>
      </c>
      <c r="T9">
        <v>6</v>
      </c>
      <c r="U9">
        <v>452</v>
      </c>
      <c r="V9">
        <v>121</v>
      </c>
      <c r="W9">
        <v>-1.8</v>
      </c>
    </row>
    <row r="10" spans="1:23">
      <c r="A10">
        <v>2.0703933747412004</v>
      </c>
      <c r="B10">
        <v>1.0351966873706002</v>
      </c>
      <c r="C10">
        <v>4.7619047619047609E-2</v>
      </c>
      <c r="D10">
        <v>11.5</v>
      </c>
      <c r="E10">
        <v>22</v>
      </c>
      <c r="F10">
        <v>80.400000000000006</v>
      </c>
      <c r="G10">
        <v>0</v>
      </c>
      <c r="H10">
        <v>0</v>
      </c>
      <c r="I10">
        <v>0</v>
      </c>
      <c r="J10">
        <v>-0.48099999999999998</v>
      </c>
      <c r="K10">
        <v>18.015000000000001</v>
      </c>
      <c r="L10">
        <v>1</v>
      </c>
      <c r="M10">
        <v>1</v>
      </c>
      <c r="N10">
        <v>0</v>
      </c>
      <c r="O10">
        <v>0</v>
      </c>
      <c r="P10">
        <v>1</v>
      </c>
      <c r="Q10">
        <v>335.29599999999999</v>
      </c>
      <c r="R10">
        <v>4</v>
      </c>
      <c r="S10">
        <v>6</v>
      </c>
      <c r="T10">
        <v>6</v>
      </c>
      <c r="U10">
        <v>452</v>
      </c>
      <c r="V10">
        <v>121</v>
      </c>
      <c r="W10">
        <v>-1.8</v>
      </c>
    </row>
    <row r="11" spans="1:23">
      <c r="A11">
        <v>2.1276595744680851</v>
      </c>
      <c r="B11">
        <v>1.0638297872340425</v>
      </c>
      <c r="C11">
        <v>2.1276595744680851</v>
      </c>
      <c r="D11">
        <v>11.5</v>
      </c>
      <c r="E11">
        <v>22</v>
      </c>
      <c r="F11">
        <v>80.400000000000006</v>
      </c>
      <c r="G11">
        <v>0</v>
      </c>
      <c r="H11">
        <v>0</v>
      </c>
      <c r="I11">
        <v>0</v>
      </c>
      <c r="J11">
        <v>-0.48099999999999998</v>
      </c>
      <c r="K11">
        <v>18.015000000000001</v>
      </c>
      <c r="L11">
        <v>1</v>
      </c>
      <c r="M11">
        <v>1</v>
      </c>
      <c r="N11">
        <v>0</v>
      </c>
      <c r="O11">
        <v>0</v>
      </c>
      <c r="P11">
        <v>1</v>
      </c>
      <c r="Q11">
        <v>335.29599999999999</v>
      </c>
      <c r="R11">
        <v>4</v>
      </c>
      <c r="S11">
        <v>6</v>
      </c>
      <c r="T11">
        <v>6</v>
      </c>
      <c r="U11">
        <v>452</v>
      </c>
      <c r="V11">
        <v>121</v>
      </c>
      <c r="W11">
        <v>-1.8</v>
      </c>
    </row>
    <row r="12" spans="1:23">
      <c r="A12">
        <v>3.0612244897959182</v>
      </c>
      <c r="B12">
        <v>1.0204081632653061</v>
      </c>
      <c r="C12">
        <v>4.0816326530612242E-2</v>
      </c>
      <c r="D12">
        <v>11.5</v>
      </c>
      <c r="E12">
        <v>22</v>
      </c>
      <c r="F12">
        <v>80.400000000000006</v>
      </c>
      <c r="G12">
        <v>0</v>
      </c>
      <c r="H12">
        <v>0</v>
      </c>
      <c r="I12">
        <v>0</v>
      </c>
      <c r="J12">
        <v>-0.48099999999999998</v>
      </c>
      <c r="K12">
        <v>18.015000000000001</v>
      </c>
      <c r="L12">
        <v>1</v>
      </c>
      <c r="M12">
        <v>1</v>
      </c>
      <c r="N12">
        <v>0</v>
      </c>
      <c r="O12">
        <v>0</v>
      </c>
      <c r="P12">
        <v>1</v>
      </c>
      <c r="Q12">
        <v>335.29599999999999</v>
      </c>
      <c r="R12">
        <v>4</v>
      </c>
      <c r="S12">
        <v>6</v>
      </c>
      <c r="T12">
        <v>6</v>
      </c>
      <c r="U12">
        <v>452</v>
      </c>
      <c r="V12">
        <v>121</v>
      </c>
      <c r="W12">
        <v>-1.8</v>
      </c>
    </row>
    <row r="13" spans="1:23">
      <c r="A13">
        <v>2.5773195876288657</v>
      </c>
      <c r="B13">
        <v>1.0309278350515463</v>
      </c>
      <c r="C13">
        <v>4.1237113402061855E-2</v>
      </c>
      <c r="D13">
        <v>11.5</v>
      </c>
      <c r="E13">
        <v>22</v>
      </c>
      <c r="F13">
        <v>80.400000000000006</v>
      </c>
      <c r="G13">
        <v>0</v>
      </c>
      <c r="H13">
        <v>0</v>
      </c>
      <c r="I13">
        <v>0</v>
      </c>
      <c r="J13">
        <v>-0.48099999999999998</v>
      </c>
      <c r="K13">
        <v>18.015000000000001</v>
      </c>
      <c r="L13">
        <v>1</v>
      </c>
      <c r="M13">
        <v>1</v>
      </c>
      <c r="N13">
        <v>0</v>
      </c>
      <c r="O13">
        <v>0</v>
      </c>
      <c r="P13">
        <v>1</v>
      </c>
      <c r="Q13">
        <v>335.29599999999999</v>
      </c>
      <c r="R13">
        <v>4</v>
      </c>
      <c r="S13">
        <v>6</v>
      </c>
      <c r="T13">
        <v>6</v>
      </c>
      <c r="U13">
        <v>452</v>
      </c>
      <c r="V13">
        <v>121</v>
      </c>
      <c r="W13">
        <v>-1.8</v>
      </c>
    </row>
    <row r="14" spans="1:23">
      <c r="A14">
        <v>1.5789473684210524</v>
      </c>
      <c r="B14">
        <v>1.0526315789473681</v>
      </c>
      <c r="C14">
        <v>4.2105263157894729E-2</v>
      </c>
      <c r="D14">
        <v>11.5</v>
      </c>
      <c r="E14">
        <v>22</v>
      </c>
      <c r="F14">
        <v>80.400000000000006</v>
      </c>
      <c r="G14">
        <v>0</v>
      </c>
      <c r="H14">
        <v>0</v>
      </c>
      <c r="I14">
        <v>0</v>
      </c>
      <c r="J14">
        <v>-0.48099999999999998</v>
      </c>
      <c r="K14">
        <v>18.015000000000001</v>
      </c>
      <c r="L14">
        <v>1</v>
      </c>
      <c r="M14">
        <v>1</v>
      </c>
      <c r="N14">
        <v>0</v>
      </c>
      <c r="O14">
        <v>0</v>
      </c>
      <c r="P14">
        <v>1</v>
      </c>
      <c r="Q14">
        <v>335.29599999999999</v>
      </c>
      <c r="R14">
        <v>4</v>
      </c>
      <c r="S14">
        <v>6</v>
      </c>
      <c r="T14">
        <v>6</v>
      </c>
      <c r="U14">
        <v>452</v>
      </c>
      <c r="V14">
        <v>121</v>
      </c>
      <c r="W14">
        <v>-1.8</v>
      </c>
    </row>
    <row r="15" spans="1:23">
      <c r="A15">
        <v>2.083333333333333</v>
      </c>
      <c r="B15">
        <v>1.0416666666666665</v>
      </c>
      <c r="C15">
        <v>4.1666666666666664E-2</v>
      </c>
      <c r="D15">
        <v>10</v>
      </c>
      <c r="E15">
        <v>22</v>
      </c>
      <c r="F15">
        <v>80.400000000000006</v>
      </c>
      <c r="G15">
        <v>0</v>
      </c>
      <c r="H15">
        <v>0</v>
      </c>
      <c r="I15">
        <v>0</v>
      </c>
      <c r="J15">
        <v>-0.48099999999999998</v>
      </c>
      <c r="K15">
        <v>18.015000000000001</v>
      </c>
      <c r="L15">
        <v>1</v>
      </c>
      <c r="M15">
        <v>1</v>
      </c>
      <c r="N15">
        <v>0</v>
      </c>
      <c r="O15">
        <v>0</v>
      </c>
      <c r="P15">
        <v>1</v>
      </c>
      <c r="Q15">
        <v>335.29599999999999</v>
      </c>
      <c r="R15">
        <v>4</v>
      </c>
      <c r="S15">
        <v>6</v>
      </c>
      <c r="T15">
        <v>6</v>
      </c>
      <c r="U15">
        <v>452</v>
      </c>
      <c r="V15">
        <v>121</v>
      </c>
      <c r="W15">
        <v>-1.8</v>
      </c>
    </row>
    <row r="16" spans="1:23">
      <c r="A16">
        <v>2.083333333333333</v>
      </c>
      <c r="B16">
        <v>1.0416666666666665</v>
      </c>
      <c r="C16">
        <v>4.1666666666666664E-2</v>
      </c>
      <c r="D16">
        <v>11</v>
      </c>
      <c r="E16">
        <v>22</v>
      </c>
      <c r="F16">
        <v>80.400000000000006</v>
      </c>
      <c r="G16">
        <v>0</v>
      </c>
      <c r="H16">
        <v>0</v>
      </c>
      <c r="I16">
        <v>0</v>
      </c>
      <c r="J16">
        <v>-0.48099999999999998</v>
      </c>
      <c r="K16">
        <v>18.015000000000001</v>
      </c>
      <c r="L16">
        <v>1</v>
      </c>
      <c r="M16">
        <v>1</v>
      </c>
      <c r="N16">
        <v>0</v>
      </c>
      <c r="O16">
        <v>0</v>
      </c>
      <c r="P16">
        <v>1</v>
      </c>
      <c r="Q16">
        <v>335.29599999999999</v>
      </c>
      <c r="R16">
        <v>4</v>
      </c>
      <c r="S16">
        <v>6</v>
      </c>
      <c r="T16">
        <v>6</v>
      </c>
      <c r="U16">
        <v>452</v>
      </c>
      <c r="V16">
        <v>121</v>
      </c>
      <c r="W16">
        <v>-1.8</v>
      </c>
    </row>
    <row r="17" spans="1:23">
      <c r="A17">
        <v>2.083333333333333</v>
      </c>
      <c r="B17">
        <v>1.0416666666666665</v>
      </c>
      <c r="C17">
        <v>4.1666666666666664E-2</v>
      </c>
      <c r="D17">
        <v>12</v>
      </c>
      <c r="E17">
        <v>22</v>
      </c>
      <c r="F17">
        <v>80.400000000000006</v>
      </c>
      <c r="G17">
        <v>0</v>
      </c>
      <c r="H17">
        <v>0</v>
      </c>
      <c r="I17">
        <v>0</v>
      </c>
      <c r="J17">
        <v>-0.48099999999999998</v>
      </c>
      <c r="K17">
        <v>18.015000000000001</v>
      </c>
      <c r="L17">
        <v>1</v>
      </c>
      <c r="M17">
        <v>1</v>
      </c>
      <c r="N17">
        <v>0</v>
      </c>
      <c r="O17">
        <v>0</v>
      </c>
      <c r="P17">
        <v>1</v>
      </c>
      <c r="Q17">
        <v>335.29599999999999</v>
      </c>
      <c r="R17">
        <v>4</v>
      </c>
      <c r="S17">
        <v>6</v>
      </c>
      <c r="T17">
        <v>6</v>
      </c>
      <c r="U17">
        <v>452</v>
      </c>
      <c r="V17">
        <v>121</v>
      </c>
      <c r="W17">
        <v>-1.8</v>
      </c>
    </row>
    <row r="18" spans="1:23">
      <c r="A18">
        <v>2.083333333333333</v>
      </c>
      <c r="B18">
        <v>1.0416666666666665</v>
      </c>
      <c r="C18">
        <v>4.1666666666666664E-2</v>
      </c>
      <c r="D18">
        <v>12.5</v>
      </c>
      <c r="E18">
        <v>22</v>
      </c>
      <c r="F18">
        <v>80.400000000000006</v>
      </c>
      <c r="G18">
        <v>0</v>
      </c>
      <c r="H18">
        <v>0</v>
      </c>
      <c r="I18">
        <v>0</v>
      </c>
      <c r="J18">
        <v>-0.48099999999999998</v>
      </c>
      <c r="K18">
        <v>18.015000000000001</v>
      </c>
      <c r="L18">
        <v>1</v>
      </c>
      <c r="M18">
        <v>1</v>
      </c>
      <c r="N18">
        <v>0</v>
      </c>
      <c r="O18">
        <v>0</v>
      </c>
      <c r="P18">
        <v>1</v>
      </c>
      <c r="Q18">
        <v>335.29599999999999</v>
      </c>
      <c r="R18">
        <v>4</v>
      </c>
      <c r="S18">
        <v>6</v>
      </c>
      <c r="T18">
        <v>6</v>
      </c>
      <c r="U18">
        <v>452</v>
      </c>
      <c r="V18">
        <v>121</v>
      </c>
      <c r="W18">
        <v>-1.8</v>
      </c>
    </row>
    <row r="19" spans="1:23">
      <c r="A19">
        <v>2.083333333333333</v>
      </c>
      <c r="B19">
        <v>1.0416666666666665</v>
      </c>
      <c r="C19">
        <v>4.1666666666666664E-2</v>
      </c>
      <c r="D19">
        <v>12.8</v>
      </c>
      <c r="E19">
        <v>22</v>
      </c>
      <c r="F19">
        <v>80.400000000000006</v>
      </c>
      <c r="G19">
        <v>0</v>
      </c>
      <c r="H19">
        <v>0</v>
      </c>
      <c r="I19">
        <v>0</v>
      </c>
      <c r="J19">
        <v>-0.48099999999999998</v>
      </c>
      <c r="K19">
        <v>18.015000000000001</v>
      </c>
      <c r="L19">
        <v>1</v>
      </c>
      <c r="M19">
        <v>1</v>
      </c>
      <c r="N19">
        <v>0</v>
      </c>
      <c r="O19">
        <v>0</v>
      </c>
      <c r="P19">
        <v>1</v>
      </c>
      <c r="Q19">
        <v>335.29599999999999</v>
      </c>
      <c r="R19">
        <v>4</v>
      </c>
      <c r="S19">
        <v>6</v>
      </c>
      <c r="T19">
        <v>6</v>
      </c>
      <c r="U19">
        <v>452</v>
      </c>
      <c r="V19">
        <v>121</v>
      </c>
      <c r="W19">
        <v>-1.8</v>
      </c>
    </row>
    <row r="20" spans="1:23">
      <c r="A20">
        <v>2.083333333333333</v>
      </c>
      <c r="B20">
        <v>1.0416666666666665</v>
      </c>
      <c r="C20">
        <v>4.1666666666666664E-2</v>
      </c>
      <c r="D20">
        <v>11.5</v>
      </c>
      <c r="E20">
        <v>22</v>
      </c>
      <c r="F20">
        <v>80.400000000000006</v>
      </c>
      <c r="G20">
        <v>0</v>
      </c>
      <c r="H20">
        <v>0</v>
      </c>
      <c r="I20">
        <v>0</v>
      </c>
      <c r="J20">
        <v>-0.48099999999999998</v>
      </c>
      <c r="K20">
        <v>18.015000000000001</v>
      </c>
      <c r="L20">
        <v>1</v>
      </c>
      <c r="M20">
        <v>1</v>
      </c>
      <c r="N20">
        <v>0</v>
      </c>
      <c r="O20">
        <v>0</v>
      </c>
      <c r="P20">
        <v>1</v>
      </c>
      <c r="Q20">
        <v>154.18299999999999</v>
      </c>
      <c r="R20">
        <v>2</v>
      </c>
      <c r="S20">
        <v>3</v>
      </c>
      <c r="T20">
        <v>1</v>
      </c>
      <c r="U20">
        <v>136</v>
      </c>
      <c r="V20">
        <v>38.299999999999997</v>
      </c>
      <c r="W20">
        <v>2.2999999999999998</v>
      </c>
    </row>
    <row r="21" spans="1:23">
      <c r="A21">
        <v>3.0612244897959182</v>
      </c>
      <c r="B21">
        <v>1.0204081632653061</v>
      </c>
      <c r="C21">
        <v>4.0816326530612242E-2</v>
      </c>
      <c r="D21">
        <v>11.5</v>
      </c>
      <c r="E21">
        <v>22</v>
      </c>
      <c r="F21">
        <v>80.400000000000006</v>
      </c>
      <c r="G21">
        <v>0</v>
      </c>
      <c r="H21">
        <v>0</v>
      </c>
      <c r="I21">
        <v>0</v>
      </c>
      <c r="J21">
        <v>-0.48099999999999998</v>
      </c>
      <c r="K21">
        <v>18.015000000000001</v>
      </c>
      <c r="L21">
        <v>1</v>
      </c>
      <c r="M21">
        <v>1</v>
      </c>
      <c r="N21">
        <v>0</v>
      </c>
      <c r="O21">
        <v>0</v>
      </c>
      <c r="P21">
        <v>1</v>
      </c>
      <c r="Q21">
        <v>154.18299999999999</v>
      </c>
      <c r="R21">
        <v>2</v>
      </c>
      <c r="S21">
        <v>3</v>
      </c>
      <c r="T21">
        <v>1</v>
      </c>
      <c r="U21">
        <v>136</v>
      </c>
      <c r="V21">
        <v>38.299999999999997</v>
      </c>
      <c r="W21">
        <v>2.2999999999999998</v>
      </c>
    </row>
    <row r="22" spans="1:23">
      <c r="A22">
        <v>2.5773195876288657</v>
      </c>
      <c r="B22">
        <v>1.0309278350515463</v>
      </c>
      <c r="C22">
        <v>4.1237113402061855E-2</v>
      </c>
      <c r="D22">
        <v>11.5</v>
      </c>
      <c r="E22">
        <v>22</v>
      </c>
      <c r="F22">
        <v>80.400000000000006</v>
      </c>
      <c r="G22">
        <v>0</v>
      </c>
      <c r="H22">
        <v>0</v>
      </c>
      <c r="I22">
        <v>0</v>
      </c>
      <c r="J22">
        <v>-0.48099999999999998</v>
      </c>
      <c r="K22">
        <v>18.015000000000001</v>
      </c>
      <c r="L22">
        <v>1</v>
      </c>
      <c r="M22">
        <v>1</v>
      </c>
      <c r="N22">
        <v>0</v>
      </c>
      <c r="O22">
        <v>0</v>
      </c>
      <c r="P22">
        <v>1</v>
      </c>
      <c r="Q22">
        <v>154.18299999999999</v>
      </c>
      <c r="R22">
        <v>2</v>
      </c>
      <c r="S22">
        <v>3</v>
      </c>
      <c r="T22">
        <v>1</v>
      </c>
      <c r="U22">
        <v>136</v>
      </c>
      <c r="V22">
        <v>38.299999999999997</v>
      </c>
      <c r="W22">
        <v>2.2999999999999998</v>
      </c>
    </row>
    <row r="23" spans="1:23">
      <c r="A23">
        <v>1.5789473684210524</v>
      </c>
      <c r="B23">
        <v>1.0526315789473681</v>
      </c>
      <c r="C23">
        <v>4.2105263157894729E-2</v>
      </c>
      <c r="D23">
        <v>11.5</v>
      </c>
      <c r="E23">
        <v>22</v>
      </c>
      <c r="F23">
        <v>80.400000000000006</v>
      </c>
      <c r="G23">
        <v>0</v>
      </c>
      <c r="H23">
        <v>0</v>
      </c>
      <c r="I23">
        <v>0</v>
      </c>
      <c r="J23">
        <v>-0.48099999999999998</v>
      </c>
      <c r="K23">
        <v>18.015000000000001</v>
      </c>
      <c r="L23">
        <v>1</v>
      </c>
      <c r="M23">
        <v>1</v>
      </c>
      <c r="N23">
        <v>0</v>
      </c>
      <c r="O23">
        <v>0</v>
      </c>
      <c r="P23">
        <v>1</v>
      </c>
      <c r="Q23">
        <v>154.18299999999999</v>
      </c>
      <c r="R23">
        <v>2</v>
      </c>
      <c r="S23">
        <v>3</v>
      </c>
      <c r="T23">
        <v>1</v>
      </c>
      <c r="U23">
        <v>136</v>
      </c>
      <c r="V23">
        <v>38.299999999999997</v>
      </c>
      <c r="W23">
        <v>2.2999999999999998</v>
      </c>
    </row>
    <row r="24" spans="1:23">
      <c r="A24">
        <v>2.083333333333333</v>
      </c>
      <c r="B24">
        <v>1.0416666666666665</v>
      </c>
      <c r="C24">
        <v>4.1666666666666664E-2</v>
      </c>
      <c r="D24">
        <v>10</v>
      </c>
      <c r="E24">
        <v>22</v>
      </c>
      <c r="F24">
        <v>80.400000000000006</v>
      </c>
      <c r="G24">
        <v>0</v>
      </c>
      <c r="H24">
        <v>0</v>
      </c>
      <c r="I24">
        <v>0</v>
      </c>
      <c r="J24">
        <v>-0.48099999999999998</v>
      </c>
      <c r="K24">
        <v>18.015000000000001</v>
      </c>
      <c r="L24">
        <v>1</v>
      </c>
      <c r="M24">
        <v>1</v>
      </c>
      <c r="N24">
        <v>0</v>
      </c>
      <c r="O24">
        <v>0</v>
      </c>
      <c r="P24">
        <v>1</v>
      </c>
      <c r="Q24">
        <v>154.18299999999999</v>
      </c>
      <c r="R24">
        <v>2</v>
      </c>
      <c r="S24">
        <v>3</v>
      </c>
      <c r="T24">
        <v>1</v>
      </c>
      <c r="U24">
        <v>136</v>
      </c>
      <c r="V24">
        <v>38.299999999999997</v>
      </c>
      <c r="W24">
        <v>2.2999999999999998</v>
      </c>
    </row>
    <row r="25" spans="1:23">
      <c r="A25">
        <v>2.083333333333333</v>
      </c>
      <c r="B25">
        <v>1.0416666666666665</v>
      </c>
      <c r="C25">
        <v>4.1666666666666664E-2</v>
      </c>
      <c r="D25">
        <v>11</v>
      </c>
      <c r="E25">
        <v>22</v>
      </c>
      <c r="F25">
        <v>80.400000000000006</v>
      </c>
      <c r="G25">
        <v>0</v>
      </c>
      <c r="H25">
        <v>0</v>
      </c>
      <c r="I25">
        <v>0</v>
      </c>
      <c r="J25">
        <v>-0.48099999999999998</v>
      </c>
      <c r="K25">
        <v>18.015000000000001</v>
      </c>
      <c r="L25">
        <v>1</v>
      </c>
      <c r="M25">
        <v>1</v>
      </c>
      <c r="N25">
        <v>0</v>
      </c>
      <c r="O25">
        <v>0</v>
      </c>
      <c r="P25">
        <v>1</v>
      </c>
      <c r="Q25">
        <v>154.18299999999999</v>
      </c>
      <c r="R25">
        <v>2</v>
      </c>
      <c r="S25">
        <v>3</v>
      </c>
      <c r="T25">
        <v>1</v>
      </c>
      <c r="U25">
        <v>136</v>
      </c>
      <c r="V25">
        <v>38.299999999999997</v>
      </c>
      <c r="W25">
        <v>2.2999999999999998</v>
      </c>
    </row>
    <row r="26" spans="1:23">
      <c r="A26">
        <v>2.083333333333333</v>
      </c>
      <c r="B26">
        <v>1.0416666666666665</v>
      </c>
      <c r="C26">
        <v>4.1666666666666664E-2</v>
      </c>
      <c r="D26">
        <v>12</v>
      </c>
      <c r="E26">
        <v>22</v>
      </c>
      <c r="F26">
        <v>80.400000000000006</v>
      </c>
      <c r="G26">
        <v>0</v>
      </c>
      <c r="H26">
        <v>0</v>
      </c>
      <c r="I26">
        <v>0</v>
      </c>
      <c r="J26">
        <v>-0.48099999999999998</v>
      </c>
      <c r="K26">
        <v>18.015000000000001</v>
      </c>
      <c r="L26">
        <v>1</v>
      </c>
      <c r="M26">
        <v>1</v>
      </c>
      <c r="N26">
        <v>0</v>
      </c>
      <c r="O26">
        <v>0</v>
      </c>
      <c r="P26">
        <v>1</v>
      </c>
      <c r="Q26">
        <v>154.18299999999999</v>
      </c>
      <c r="R26">
        <v>2</v>
      </c>
      <c r="S26">
        <v>3</v>
      </c>
      <c r="T26">
        <v>1</v>
      </c>
      <c r="U26">
        <v>136</v>
      </c>
      <c r="V26">
        <v>38.299999999999997</v>
      </c>
      <c r="W26">
        <v>2.2999999999999998</v>
      </c>
    </row>
    <row r="27" spans="1:23">
      <c r="A27">
        <v>2.083333333333333</v>
      </c>
      <c r="B27">
        <v>1.0416666666666665</v>
      </c>
      <c r="C27">
        <v>4.1666666666666664E-2</v>
      </c>
      <c r="D27">
        <v>12.5</v>
      </c>
      <c r="E27">
        <v>22</v>
      </c>
      <c r="F27">
        <v>80.400000000000006</v>
      </c>
      <c r="G27">
        <v>0</v>
      </c>
      <c r="H27">
        <v>0</v>
      </c>
      <c r="I27">
        <v>0</v>
      </c>
      <c r="J27">
        <v>-0.48099999999999998</v>
      </c>
      <c r="K27">
        <v>18.015000000000001</v>
      </c>
      <c r="L27">
        <v>1</v>
      </c>
      <c r="M27">
        <v>1</v>
      </c>
      <c r="N27">
        <v>0</v>
      </c>
      <c r="O27">
        <v>0</v>
      </c>
      <c r="P27">
        <v>1</v>
      </c>
      <c r="Q27">
        <v>154.18299999999999</v>
      </c>
      <c r="R27">
        <v>2</v>
      </c>
      <c r="S27">
        <v>3</v>
      </c>
      <c r="T27">
        <v>1</v>
      </c>
      <c r="U27">
        <v>136</v>
      </c>
      <c r="V27">
        <v>38.299999999999997</v>
      </c>
      <c r="W27">
        <v>2.2999999999999998</v>
      </c>
    </row>
    <row r="28" spans="1:23">
      <c r="A28">
        <v>2.083333333333333</v>
      </c>
      <c r="B28">
        <v>1.0416666666666665</v>
      </c>
      <c r="C28">
        <v>4.1666666666666664E-2</v>
      </c>
      <c r="D28">
        <v>12.8</v>
      </c>
      <c r="E28">
        <v>22</v>
      </c>
      <c r="F28">
        <v>80.400000000000006</v>
      </c>
      <c r="G28">
        <v>0</v>
      </c>
      <c r="H28">
        <v>0</v>
      </c>
      <c r="I28">
        <v>0</v>
      </c>
      <c r="J28">
        <v>-0.48099999999999998</v>
      </c>
      <c r="K28">
        <v>18.015000000000001</v>
      </c>
      <c r="L28">
        <v>1</v>
      </c>
      <c r="M28">
        <v>1</v>
      </c>
      <c r="N28">
        <v>0</v>
      </c>
      <c r="O28">
        <v>0</v>
      </c>
      <c r="P28">
        <v>1</v>
      </c>
      <c r="Q28">
        <v>154.18299999999999</v>
      </c>
      <c r="R28">
        <v>2</v>
      </c>
      <c r="S28">
        <v>3</v>
      </c>
      <c r="T28">
        <v>1</v>
      </c>
      <c r="U28">
        <v>136</v>
      </c>
      <c r="V28">
        <v>38.299999999999997</v>
      </c>
      <c r="W28">
        <v>2.2999999999999998</v>
      </c>
    </row>
    <row r="29" spans="1:23">
      <c r="A29">
        <v>30</v>
      </c>
      <c r="B29">
        <v>30</v>
      </c>
      <c r="C29">
        <v>400</v>
      </c>
      <c r="D29">
        <v>7</v>
      </c>
      <c r="E29">
        <v>0</v>
      </c>
      <c r="F29">
        <v>2.4</v>
      </c>
      <c r="G29">
        <v>1</v>
      </c>
      <c r="H29">
        <v>1</v>
      </c>
      <c r="I29">
        <v>1</v>
      </c>
      <c r="J29">
        <v>-0.48099999999999998</v>
      </c>
      <c r="K29">
        <v>92.14</v>
      </c>
      <c r="L29">
        <v>0</v>
      </c>
      <c r="M29">
        <v>0</v>
      </c>
      <c r="N29">
        <v>0</v>
      </c>
      <c r="O29">
        <v>42</v>
      </c>
      <c r="P29">
        <v>0</v>
      </c>
      <c r="Q29">
        <v>138.22800000000001</v>
      </c>
      <c r="R29">
        <v>1</v>
      </c>
      <c r="S29">
        <v>1</v>
      </c>
      <c r="T29">
        <v>2</v>
      </c>
      <c r="U29">
        <v>65</v>
      </c>
      <c r="V29">
        <v>1</v>
      </c>
      <c r="W29">
        <v>2.6</v>
      </c>
    </row>
    <row r="30" spans="1:23">
      <c r="A30">
        <v>150.83251714005877</v>
      </c>
      <c r="B30">
        <v>25.07345739471107</v>
      </c>
      <c r="C30">
        <v>209.66420966420966</v>
      </c>
      <c r="D30">
        <v>7</v>
      </c>
      <c r="E30">
        <v>25</v>
      </c>
      <c r="F30">
        <v>7.4</v>
      </c>
      <c r="G30">
        <v>1</v>
      </c>
      <c r="H30">
        <v>1</v>
      </c>
      <c r="I30">
        <v>1</v>
      </c>
      <c r="J30">
        <v>-0.48099999999999998</v>
      </c>
      <c r="K30">
        <v>72.106999999999999</v>
      </c>
      <c r="L30">
        <v>0</v>
      </c>
      <c r="M30">
        <v>1</v>
      </c>
      <c r="N30">
        <v>0</v>
      </c>
      <c r="O30">
        <v>22.8</v>
      </c>
      <c r="P30">
        <v>9.1999999999999993</v>
      </c>
      <c r="Q30">
        <v>138.22800000000001</v>
      </c>
      <c r="R30">
        <v>1</v>
      </c>
      <c r="S30">
        <v>1</v>
      </c>
      <c r="T30">
        <v>2</v>
      </c>
      <c r="U30">
        <v>65</v>
      </c>
      <c r="V30">
        <v>1</v>
      </c>
      <c r="W30">
        <v>2.6</v>
      </c>
    </row>
    <row r="31" spans="1:23">
      <c r="A31">
        <v>200</v>
      </c>
      <c r="B31">
        <v>40</v>
      </c>
      <c r="C31">
        <v>133.33333333333334</v>
      </c>
      <c r="D31">
        <v>7</v>
      </c>
      <c r="E31">
        <v>25</v>
      </c>
      <c r="F31">
        <v>32.6</v>
      </c>
      <c r="G31">
        <v>1</v>
      </c>
      <c r="H31">
        <v>0</v>
      </c>
      <c r="I31">
        <v>1</v>
      </c>
      <c r="J31">
        <v>-0.48099999999999998</v>
      </c>
      <c r="K31">
        <v>32.042000000000002</v>
      </c>
      <c r="L31">
        <v>1</v>
      </c>
      <c r="M31">
        <v>1</v>
      </c>
      <c r="N31">
        <v>0</v>
      </c>
      <c r="O31">
        <v>2</v>
      </c>
      <c r="P31">
        <v>20.2</v>
      </c>
      <c r="Q31">
        <v>217.28299999999999</v>
      </c>
      <c r="R31">
        <v>2</v>
      </c>
      <c r="S31">
        <v>4</v>
      </c>
      <c r="T31">
        <v>3</v>
      </c>
      <c r="U31">
        <v>244</v>
      </c>
      <c r="V31">
        <v>58.6</v>
      </c>
      <c r="W31">
        <v>0.3</v>
      </c>
    </row>
    <row r="32" spans="1:23">
      <c r="A32">
        <v>3</v>
      </c>
      <c r="B32">
        <v>9</v>
      </c>
      <c r="C32">
        <v>4.5</v>
      </c>
      <c r="D32">
        <v>7</v>
      </c>
      <c r="E32">
        <v>4</v>
      </c>
      <c r="F32">
        <v>32.6</v>
      </c>
      <c r="G32">
        <v>0</v>
      </c>
      <c r="H32">
        <v>0</v>
      </c>
      <c r="I32">
        <v>0</v>
      </c>
      <c r="J32">
        <v>-0.48099999999999998</v>
      </c>
      <c r="K32">
        <v>32.042000000000002</v>
      </c>
      <c r="L32">
        <v>1</v>
      </c>
      <c r="M32">
        <v>1</v>
      </c>
      <c r="N32">
        <v>0</v>
      </c>
      <c r="O32">
        <v>2</v>
      </c>
      <c r="P32">
        <v>20.2</v>
      </c>
      <c r="Q32">
        <v>335.29599999999999</v>
      </c>
      <c r="R32">
        <v>4</v>
      </c>
      <c r="S32">
        <v>6</v>
      </c>
      <c r="T32">
        <v>6</v>
      </c>
      <c r="U32">
        <v>452</v>
      </c>
      <c r="V32">
        <v>121</v>
      </c>
      <c r="W32">
        <v>-1.8</v>
      </c>
    </row>
    <row r="33" spans="1:23">
      <c r="A33">
        <v>2</v>
      </c>
      <c r="B33">
        <v>1</v>
      </c>
      <c r="C33">
        <v>0</v>
      </c>
      <c r="D33">
        <v>11</v>
      </c>
      <c r="E33">
        <v>25</v>
      </c>
      <c r="F33">
        <v>31.6</v>
      </c>
      <c r="G33">
        <v>0</v>
      </c>
      <c r="H33">
        <v>0</v>
      </c>
      <c r="I33">
        <v>0</v>
      </c>
      <c r="J33">
        <v>-0.52</v>
      </c>
      <c r="K33">
        <v>35.045999999999999</v>
      </c>
      <c r="L33">
        <v>2</v>
      </c>
      <c r="M33">
        <v>1</v>
      </c>
      <c r="N33">
        <v>0</v>
      </c>
      <c r="O33">
        <v>0</v>
      </c>
      <c r="P33">
        <v>2</v>
      </c>
      <c r="Q33">
        <v>335.29599999999999</v>
      </c>
      <c r="R33">
        <v>4</v>
      </c>
      <c r="S33">
        <v>6</v>
      </c>
      <c r="T33">
        <v>6</v>
      </c>
      <c r="U33">
        <v>452</v>
      </c>
      <c r="V33">
        <v>121</v>
      </c>
      <c r="W33">
        <v>-1.8</v>
      </c>
    </row>
    <row r="34" spans="1:23">
      <c r="A34">
        <v>85.75</v>
      </c>
      <c r="B34">
        <v>31.75</v>
      </c>
      <c r="C34">
        <v>85.875</v>
      </c>
      <c r="D34">
        <v>7</v>
      </c>
      <c r="E34">
        <v>25</v>
      </c>
      <c r="F34">
        <v>2.4</v>
      </c>
      <c r="G34">
        <v>1</v>
      </c>
      <c r="H34">
        <v>1</v>
      </c>
      <c r="I34">
        <v>0</v>
      </c>
      <c r="J34">
        <v>-0.48099999999999998</v>
      </c>
      <c r="K34">
        <v>92.14</v>
      </c>
      <c r="L34">
        <v>0</v>
      </c>
      <c r="M34">
        <v>0</v>
      </c>
      <c r="N34">
        <v>0</v>
      </c>
      <c r="O34">
        <v>42</v>
      </c>
      <c r="P34">
        <v>0</v>
      </c>
      <c r="Q34">
        <v>262.29199999999997</v>
      </c>
      <c r="R34">
        <v>0</v>
      </c>
      <c r="S34">
        <v>0</v>
      </c>
      <c r="T34">
        <v>3</v>
      </c>
      <c r="U34">
        <v>202</v>
      </c>
      <c r="V34">
        <v>0</v>
      </c>
      <c r="W34">
        <v>4.5999999999999996</v>
      </c>
    </row>
    <row r="35" spans="1:23">
      <c r="A35">
        <v>800</v>
      </c>
      <c r="B35">
        <v>200</v>
      </c>
      <c r="C35">
        <v>1000</v>
      </c>
      <c r="D35">
        <v>7</v>
      </c>
      <c r="E35">
        <v>25</v>
      </c>
      <c r="F35">
        <v>2.4</v>
      </c>
      <c r="G35">
        <v>1</v>
      </c>
      <c r="H35">
        <v>1</v>
      </c>
      <c r="I35">
        <v>0</v>
      </c>
      <c r="J35">
        <v>-0.48099999999999998</v>
      </c>
      <c r="K35">
        <v>92.14</v>
      </c>
      <c r="L35">
        <v>0</v>
      </c>
      <c r="M35">
        <v>0</v>
      </c>
      <c r="N35">
        <v>0</v>
      </c>
      <c r="O35">
        <v>42</v>
      </c>
      <c r="P35">
        <v>0</v>
      </c>
      <c r="Q35">
        <v>124.20099999999999</v>
      </c>
      <c r="R35">
        <v>1</v>
      </c>
      <c r="S35">
        <v>1</v>
      </c>
      <c r="T35">
        <v>0</v>
      </c>
      <c r="U35">
        <v>62.8</v>
      </c>
      <c r="V35">
        <v>1</v>
      </c>
      <c r="W35">
        <v>2.9</v>
      </c>
    </row>
    <row r="36" spans="1:23">
      <c r="A36">
        <v>2</v>
      </c>
      <c r="B36">
        <v>1</v>
      </c>
      <c r="C36">
        <v>2</v>
      </c>
      <c r="D36">
        <v>11</v>
      </c>
      <c r="E36">
        <v>25</v>
      </c>
      <c r="F36">
        <v>80.400000000000006</v>
      </c>
      <c r="G36">
        <v>1</v>
      </c>
      <c r="H36">
        <v>0</v>
      </c>
      <c r="I36">
        <v>1</v>
      </c>
      <c r="J36">
        <v>-0.48099999999999998</v>
      </c>
      <c r="K36">
        <v>18.015000000000001</v>
      </c>
      <c r="L36">
        <v>1</v>
      </c>
      <c r="M36">
        <v>1</v>
      </c>
      <c r="N36">
        <v>0</v>
      </c>
      <c r="O36">
        <v>0</v>
      </c>
      <c r="P36">
        <v>1</v>
      </c>
      <c r="Q36">
        <v>106.139</v>
      </c>
      <c r="R36">
        <v>2</v>
      </c>
      <c r="S36">
        <v>3</v>
      </c>
      <c r="T36">
        <v>2</v>
      </c>
      <c r="U36">
        <v>52.8</v>
      </c>
      <c r="V36">
        <v>38.299999999999997</v>
      </c>
      <c r="W36">
        <v>0.4</v>
      </c>
    </row>
    <row r="37" spans="1:23">
      <c r="A37">
        <v>2</v>
      </c>
      <c r="B37">
        <v>1</v>
      </c>
      <c r="C37">
        <v>2</v>
      </c>
      <c r="D37">
        <v>11</v>
      </c>
      <c r="E37">
        <v>25</v>
      </c>
      <c r="F37">
        <v>80.400000000000006</v>
      </c>
      <c r="G37">
        <v>1</v>
      </c>
      <c r="H37">
        <v>0</v>
      </c>
      <c r="I37">
        <v>1</v>
      </c>
      <c r="J37">
        <v>-0.48099999999999998</v>
      </c>
      <c r="K37">
        <v>18.015000000000001</v>
      </c>
      <c r="L37">
        <v>1</v>
      </c>
      <c r="M37">
        <v>1</v>
      </c>
      <c r="N37">
        <v>0</v>
      </c>
      <c r="O37">
        <v>0</v>
      </c>
      <c r="P37">
        <v>1</v>
      </c>
      <c r="Q37">
        <v>121.154</v>
      </c>
      <c r="R37">
        <v>3</v>
      </c>
      <c r="S37">
        <v>4</v>
      </c>
      <c r="T37">
        <v>2</v>
      </c>
      <c r="U37">
        <v>75.3</v>
      </c>
      <c r="V37">
        <v>64.3</v>
      </c>
      <c r="W37">
        <v>-2.5</v>
      </c>
    </row>
    <row r="38" spans="1:23">
      <c r="A38">
        <v>2</v>
      </c>
      <c r="B38">
        <v>1</v>
      </c>
      <c r="C38">
        <v>2</v>
      </c>
      <c r="D38">
        <v>11</v>
      </c>
      <c r="E38">
        <v>25</v>
      </c>
      <c r="F38">
        <v>80.400000000000006</v>
      </c>
      <c r="G38">
        <v>1</v>
      </c>
      <c r="H38">
        <v>0</v>
      </c>
      <c r="I38">
        <v>1</v>
      </c>
      <c r="J38">
        <v>-0.48099999999999998</v>
      </c>
      <c r="K38">
        <v>18.015000000000001</v>
      </c>
      <c r="L38">
        <v>1</v>
      </c>
      <c r="M38">
        <v>1</v>
      </c>
      <c r="N38">
        <v>0</v>
      </c>
      <c r="O38">
        <v>0</v>
      </c>
      <c r="P38">
        <v>1</v>
      </c>
      <c r="Q38">
        <v>135.18100000000001</v>
      </c>
      <c r="R38">
        <v>3</v>
      </c>
      <c r="S38">
        <v>4</v>
      </c>
      <c r="T38">
        <v>3</v>
      </c>
      <c r="U38">
        <v>86.1</v>
      </c>
      <c r="V38">
        <v>64.3</v>
      </c>
      <c r="W38">
        <v>-3.4</v>
      </c>
    </row>
    <row r="39" spans="1:23">
      <c r="A39">
        <v>2</v>
      </c>
      <c r="B39">
        <v>1</v>
      </c>
      <c r="C39">
        <v>0</v>
      </c>
      <c r="D39">
        <v>12</v>
      </c>
      <c r="E39">
        <v>25</v>
      </c>
      <c r="F39">
        <v>80.400000000000006</v>
      </c>
      <c r="G39">
        <v>1</v>
      </c>
      <c r="H39">
        <v>0</v>
      </c>
      <c r="I39">
        <v>1</v>
      </c>
      <c r="J39">
        <v>-0.52</v>
      </c>
      <c r="K39">
        <v>18.015000000000001</v>
      </c>
      <c r="L39">
        <v>1</v>
      </c>
      <c r="M39">
        <v>1</v>
      </c>
      <c r="N39">
        <v>0</v>
      </c>
      <c r="O39">
        <v>0</v>
      </c>
      <c r="P39">
        <v>1</v>
      </c>
      <c r="Q39">
        <v>106.139</v>
      </c>
      <c r="R39">
        <v>2</v>
      </c>
      <c r="S39">
        <v>3</v>
      </c>
      <c r="T39">
        <v>2</v>
      </c>
      <c r="U39">
        <v>52.8</v>
      </c>
      <c r="V39">
        <v>38.299999999999997</v>
      </c>
      <c r="W39">
        <v>0.4</v>
      </c>
    </row>
    <row r="40" spans="1:23">
      <c r="A40">
        <v>2</v>
      </c>
      <c r="B40">
        <v>1</v>
      </c>
      <c r="C40">
        <v>0</v>
      </c>
      <c r="D40">
        <v>12</v>
      </c>
      <c r="E40">
        <v>25</v>
      </c>
      <c r="F40">
        <v>80.400000000000006</v>
      </c>
      <c r="G40">
        <v>1</v>
      </c>
      <c r="H40">
        <v>0</v>
      </c>
      <c r="I40">
        <v>1</v>
      </c>
      <c r="J40">
        <v>-0.52</v>
      </c>
      <c r="K40">
        <v>18.015000000000001</v>
      </c>
      <c r="L40">
        <v>1</v>
      </c>
      <c r="M40">
        <v>1</v>
      </c>
      <c r="N40">
        <v>0</v>
      </c>
      <c r="O40">
        <v>0</v>
      </c>
      <c r="P40">
        <v>1</v>
      </c>
      <c r="Q40">
        <v>148.22</v>
      </c>
      <c r="R40">
        <v>2</v>
      </c>
      <c r="S40">
        <v>3</v>
      </c>
      <c r="T40">
        <v>5</v>
      </c>
      <c r="U40">
        <v>83.1</v>
      </c>
      <c r="V40">
        <v>38.299999999999997</v>
      </c>
      <c r="W40">
        <v>0.6</v>
      </c>
    </row>
    <row r="41" spans="1:23">
      <c r="A41">
        <v>625</v>
      </c>
      <c r="B41">
        <v>125</v>
      </c>
      <c r="C41">
        <v>250</v>
      </c>
      <c r="D41">
        <v>7</v>
      </c>
      <c r="E41">
        <v>25</v>
      </c>
      <c r="F41">
        <v>7.4</v>
      </c>
      <c r="G41">
        <v>1</v>
      </c>
      <c r="H41">
        <v>1</v>
      </c>
      <c r="I41">
        <v>1</v>
      </c>
      <c r="J41">
        <v>-0.48099999999999998</v>
      </c>
      <c r="K41">
        <v>72.106999999999999</v>
      </c>
      <c r="L41">
        <v>0</v>
      </c>
      <c r="M41">
        <v>1</v>
      </c>
      <c r="N41">
        <v>0</v>
      </c>
      <c r="O41">
        <v>22.8</v>
      </c>
      <c r="P41">
        <v>9.1999999999999993</v>
      </c>
      <c r="Q41">
        <v>116.066</v>
      </c>
      <c r="R41">
        <v>1</v>
      </c>
      <c r="S41">
        <v>1</v>
      </c>
      <c r="T41">
        <v>0</v>
      </c>
      <c r="U41">
        <v>46.1</v>
      </c>
      <c r="V41">
        <v>1</v>
      </c>
      <c r="W41">
        <v>2.7</v>
      </c>
    </row>
    <row r="42" spans="1:23">
      <c r="A42">
        <v>100</v>
      </c>
      <c r="B42">
        <v>25</v>
      </c>
      <c r="C42">
        <v>833.33333333333337</v>
      </c>
      <c r="D42">
        <v>7</v>
      </c>
      <c r="E42">
        <v>0</v>
      </c>
      <c r="F42">
        <v>20.7</v>
      </c>
      <c r="G42">
        <v>1</v>
      </c>
      <c r="H42">
        <v>0</v>
      </c>
      <c r="I42">
        <v>1</v>
      </c>
      <c r="J42">
        <v>-0.48099999999999998</v>
      </c>
      <c r="K42">
        <v>58.08</v>
      </c>
      <c r="L42">
        <v>0</v>
      </c>
      <c r="M42">
        <v>1</v>
      </c>
      <c r="N42">
        <v>0</v>
      </c>
      <c r="O42">
        <v>26.3</v>
      </c>
      <c r="P42">
        <v>17.100000000000001</v>
      </c>
      <c r="Q42">
        <v>307.32100000000003</v>
      </c>
      <c r="R42">
        <v>6</v>
      </c>
      <c r="S42">
        <v>8</v>
      </c>
      <c r="T42">
        <v>9</v>
      </c>
      <c r="U42">
        <v>389</v>
      </c>
      <c r="V42">
        <v>160</v>
      </c>
      <c r="W42">
        <v>-4.5</v>
      </c>
    </row>
    <row r="43" spans="1:23">
      <c r="A43">
        <v>2</v>
      </c>
      <c r="B43">
        <v>1</v>
      </c>
      <c r="C43">
        <v>0</v>
      </c>
      <c r="D43">
        <v>7</v>
      </c>
      <c r="E43">
        <v>25</v>
      </c>
      <c r="F43">
        <v>80.400000000000006</v>
      </c>
      <c r="G43">
        <v>1</v>
      </c>
      <c r="H43">
        <v>0</v>
      </c>
      <c r="I43">
        <v>1</v>
      </c>
      <c r="J43">
        <v>-0.52</v>
      </c>
      <c r="K43">
        <v>18.015000000000001</v>
      </c>
      <c r="L43">
        <v>1</v>
      </c>
      <c r="M43">
        <v>1</v>
      </c>
      <c r="N43">
        <v>0</v>
      </c>
      <c r="O43">
        <v>0</v>
      </c>
      <c r="P43">
        <v>1</v>
      </c>
      <c r="Q43">
        <v>307.32100000000003</v>
      </c>
      <c r="R43">
        <v>6</v>
      </c>
      <c r="S43">
        <v>8</v>
      </c>
      <c r="T43">
        <v>9</v>
      </c>
      <c r="U43">
        <v>389</v>
      </c>
      <c r="V43">
        <v>160</v>
      </c>
      <c r="W43">
        <v>-4.5</v>
      </c>
    </row>
    <row r="44" spans="1:23">
      <c r="A44">
        <v>2</v>
      </c>
      <c r="B44">
        <v>1</v>
      </c>
      <c r="C44">
        <v>0</v>
      </c>
      <c r="D44">
        <v>9</v>
      </c>
      <c r="E44">
        <v>25</v>
      </c>
      <c r="F44">
        <v>80.400000000000006</v>
      </c>
      <c r="G44">
        <v>1</v>
      </c>
      <c r="H44">
        <v>0</v>
      </c>
      <c r="I44">
        <v>1</v>
      </c>
      <c r="J44">
        <v>-0.52</v>
      </c>
      <c r="K44">
        <v>18.015000000000001</v>
      </c>
      <c r="L44">
        <v>1</v>
      </c>
      <c r="M44">
        <v>1</v>
      </c>
      <c r="N44">
        <v>0</v>
      </c>
      <c r="O44">
        <v>0</v>
      </c>
      <c r="P44">
        <v>1</v>
      </c>
      <c r="Q44">
        <v>307.32100000000003</v>
      </c>
      <c r="R44">
        <v>6</v>
      </c>
      <c r="S44">
        <v>8</v>
      </c>
      <c r="T44">
        <v>9</v>
      </c>
      <c r="U44">
        <v>389</v>
      </c>
      <c r="V44">
        <v>160</v>
      </c>
      <c r="W44">
        <v>-4.5</v>
      </c>
    </row>
    <row r="45" spans="1:23">
      <c r="A45">
        <v>2</v>
      </c>
      <c r="B45">
        <v>1</v>
      </c>
      <c r="C45">
        <v>0</v>
      </c>
      <c r="D45">
        <v>10</v>
      </c>
      <c r="E45">
        <v>25</v>
      </c>
      <c r="F45">
        <v>80.400000000000006</v>
      </c>
      <c r="G45">
        <v>1</v>
      </c>
      <c r="H45">
        <v>0</v>
      </c>
      <c r="I45">
        <v>1</v>
      </c>
      <c r="J45">
        <v>-0.52</v>
      </c>
      <c r="K45">
        <v>18.015000000000001</v>
      </c>
      <c r="L45">
        <v>1</v>
      </c>
      <c r="M45">
        <v>1</v>
      </c>
      <c r="N45">
        <v>0</v>
      </c>
      <c r="O45">
        <v>0</v>
      </c>
      <c r="P45">
        <v>1</v>
      </c>
      <c r="Q45">
        <v>307.32100000000003</v>
      </c>
      <c r="R45">
        <v>6</v>
      </c>
      <c r="S45">
        <v>8</v>
      </c>
      <c r="T45">
        <v>9</v>
      </c>
      <c r="U45">
        <v>389</v>
      </c>
      <c r="V45">
        <v>160</v>
      </c>
      <c r="W45">
        <v>-4.5</v>
      </c>
    </row>
    <row r="46" spans="1:23">
      <c r="A46">
        <v>2</v>
      </c>
      <c r="B46">
        <v>1</v>
      </c>
      <c r="C46">
        <v>0</v>
      </c>
      <c r="D46">
        <v>11</v>
      </c>
      <c r="E46">
        <v>25</v>
      </c>
      <c r="F46">
        <v>80.400000000000006</v>
      </c>
      <c r="G46">
        <v>1</v>
      </c>
      <c r="H46">
        <v>0</v>
      </c>
      <c r="I46">
        <v>1</v>
      </c>
      <c r="J46">
        <v>-0.52</v>
      </c>
      <c r="K46">
        <v>18.015000000000001</v>
      </c>
      <c r="L46">
        <v>1</v>
      </c>
      <c r="M46">
        <v>1</v>
      </c>
      <c r="N46">
        <v>0</v>
      </c>
      <c r="O46">
        <v>0</v>
      </c>
      <c r="P46">
        <v>1</v>
      </c>
      <c r="Q46">
        <v>307.32100000000003</v>
      </c>
      <c r="R46">
        <v>6</v>
      </c>
      <c r="S46">
        <v>8</v>
      </c>
      <c r="T46">
        <v>9</v>
      </c>
      <c r="U46">
        <v>389</v>
      </c>
      <c r="V46">
        <v>160</v>
      </c>
      <c r="W46">
        <v>-4.5</v>
      </c>
    </row>
    <row r="47" spans="1:23">
      <c r="A47">
        <v>2</v>
      </c>
      <c r="B47">
        <v>1</v>
      </c>
      <c r="C47">
        <v>0</v>
      </c>
      <c r="D47">
        <v>10</v>
      </c>
      <c r="E47">
        <v>25</v>
      </c>
      <c r="F47">
        <v>80.400000000000006</v>
      </c>
      <c r="G47">
        <v>1</v>
      </c>
      <c r="H47">
        <v>0</v>
      </c>
      <c r="I47">
        <v>1</v>
      </c>
      <c r="J47">
        <v>-0.52</v>
      </c>
      <c r="K47">
        <v>18.015000000000001</v>
      </c>
      <c r="L47">
        <v>1</v>
      </c>
      <c r="M47">
        <v>1</v>
      </c>
      <c r="N47">
        <v>0</v>
      </c>
      <c r="O47">
        <v>0</v>
      </c>
      <c r="P47">
        <v>1</v>
      </c>
      <c r="Q47">
        <v>106.139</v>
      </c>
      <c r="R47">
        <v>2</v>
      </c>
      <c r="S47">
        <v>3</v>
      </c>
      <c r="T47">
        <v>2</v>
      </c>
      <c r="U47">
        <v>52.8</v>
      </c>
      <c r="V47">
        <v>38.299999999999997</v>
      </c>
      <c r="W47">
        <v>0.4</v>
      </c>
    </row>
    <row r="48" spans="1:23">
      <c r="A48">
        <v>2</v>
      </c>
      <c r="B48">
        <v>1</v>
      </c>
      <c r="C48">
        <v>0</v>
      </c>
      <c r="D48">
        <v>11</v>
      </c>
      <c r="E48">
        <v>25</v>
      </c>
      <c r="F48">
        <v>80.400000000000006</v>
      </c>
      <c r="G48">
        <v>1</v>
      </c>
      <c r="H48">
        <v>0</v>
      </c>
      <c r="I48">
        <v>1</v>
      </c>
      <c r="J48">
        <v>-0.52</v>
      </c>
      <c r="K48">
        <v>18.015000000000001</v>
      </c>
      <c r="L48">
        <v>1</v>
      </c>
      <c r="M48">
        <v>1</v>
      </c>
      <c r="N48">
        <v>0</v>
      </c>
      <c r="O48">
        <v>0</v>
      </c>
      <c r="P48">
        <v>1</v>
      </c>
      <c r="Q48">
        <v>106.139</v>
      </c>
      <c r="R48">
        <v>2</v>
      </c>
      <c r="S48">
        <v>3</v>
      </c>
      <c r="T48">
        <v>2</v>
      </c>
      <c r="U48">
        <v>52.8</v>
      </c>
      <c r="V48">
        <v>38.299999999999997</v>
      </c>
      <c r="W48">
        <v>0.4</v>
      </c>
    </row>
    <row r="49" spans="1:23">
      <c r="A49">
        <v>2</v>
      </c>
      <c r="B49">
        <v>1</v>
      </c>
      <c r="C49">
        <v>0</v>
      </c>
      <c r="D49">
        <v>12</v>
      </c>
      <c r="E49">
        <v>25</v>
      </c>
      <c r="F49">
        <v>80.400000000000006</v>
      </c>
      <c r="G49">
        <v>1</v>
      </c>
      <c r="H49">
        <v>0</v>
      </c>
      <c r="I49">
        <v>1</v>
      </c>
      <c r="J49">
        <v>-0.52</v>
      </c>
      <c r="K49">
        <v>18.015000000000001</v>
      </c>
      <c r="L49">
        <v>1</v>
      </c>
      <c r="M49">
        <v>1</v>
      </c>
      <c r="N49">
        <v>0</v>
      </c>
      <c r="O49">
        <v>0</v>
      </c>
      <c r="P49">
        <v>1</v>
      </c>
      <c r="Q49">
        <v>106.139</v>
      </c>
      <c r="R49">
        <v>2</v>
      </c>
      <c r="S49">
        <v>3</v>
      </c>
      <c r="T49">
        <v>2</v>
      </c>
      <c r="U49">
        <v>52.8</v>
      </c>
      <c r="V49">
        <v>38.299999999999997</v>
      </c>
      <c r="W49">
        <v>0.4</v>
      </c>
    </row>
    <row r="50" spans="1:23">
      <c r="A50">
        <v>1021</v>
      </c>
      <c r="B50">
        <v>250</v>
      </c>
      <c r="C50">
        <v>50</v>
      </c>
      <c r="D50">
        <v>7</v>
      </c>
      <c r="E50">
        <v>25</v>
      </c>
      <c r="F50">
        <v>7.4</v>
      </c>
      <c r="G50">
        <v>1</v>
      </c>
      <c r="H50">
        <v>1</v>
      </c>
      <c r="I50">
        <v>1</v>
      </c>
      <c r="J50">
        <v>-0.48099999999999998</v>
      </c>
      <c r="K50">
        <v>84.927000000000007</v>
      </c>
      <c r="L50">
        <v>0</v>
      </c>
      <c r="M50">
        <v>0</v>
      </c>
      <c r="N50">
        <v>0</v>
      </c>
      <c r="O50">
        <v>2.8</v>
      </c>
      <c r="P50">
        <v>0</v>
      </c>
      <c r="Q50">
        <v>116.066</v>
      </c>
      <c r="R50">
        <v>1</v>
      </c>
      <c r="S50">
        <v>1</v>
      </c>
      <c r="T50">
        <v>0</v>
      </c>
      <c r="U50">
        <v>46.1</v>
      </c>
      <c r="V50">
        <v>1</v>
      </c>
      <c r="W50">
        <v>2.7</v>
      </c>
    </row>
    <row r="51" spans="1:23">
      <c r="A51">
        <v>333.33333333333331</v>
      </c>
      <c r="B51">
        <v>83.333333333333329</v>
      </c>
      <c r="C51">
        <v>250</v>
      </c>
      <c r="D51">
        <v>7</v>
      </c>
      <c r="E51">
        <v>0</v>
      </c>
      <c r="F51">
        <v>20.7</v>
      </c>
      <c r="G51">
        <v>1</v>
      </c>
      <c r="H51">
        <v>0</v>
      </c>
      <c r="I51">
        <v>1</v>
      </c>
      <c r="J51">
        <v>-0.48099999999999998</v>
      </c>
      <c r="K51">
        <v>58.08</v>
      </c>
      <c r="L51">
        <v>0</v>
      </c>
      <c r="M51">
        <v>1</v>
      </c>
      <c r="N51">
        <v>0</v>
      </c>
      <c r="O51">
        <v>26.3</v>
      </c>
      <c r="P51">
        <v>17.100000000000001</v>
      </c>
      <c r="Q51">
        <v>307.32100000000003</v>
      </c>
      <c r="R51">
        <v>6</v>
      </c>
      <c r="S51">
        <v>8</v>
      </c>
      <c r="T51">
        <v>9</v>
      </c>
      <c r="U51">
        <v>389</v>
      </c>
      <c r="V51">
        <v>160</v>
      </c>
      <c r="W51">
        <v>-4.5</v>
      </c>
    </row>
    <row r="52" spans="1:23">
      <c r="A52">
        <v>265</v>
      </c>
      <c r="B52">
        <v>50</v>
      </c>
      <c r="C52">
        <v>200</v>
      </c>
      <c r="D52">
        <v>7</v>
      </c>
      <c r="E52">
        <v>25</v>
      </c>
      <c r="F52">
        <v>32.6</v>
      </c>
      <c r="G52">
        <v>1</v>
      </c>
      <c r="H52">
        <v>1</v>
      </c>
      <c r="I52">
        <v>1</v>
      </c>
      <c r="J52">
        <v>-0.48099999999999998</v>
      </c>
      <c r="K52">
        <v>32.042000000000002</v>
      </c>
      <c r="L52">
        <v>1</v>
      </c>
      <c r="M52">
        <v>1</v>
      </c>
      <c r="N52">
        <v>0</v>
      </c>
      <c r="O52">
        <v>2</v>
      </c>
      <c r="P52">
        <v>20.2</v>
      </c>
      <c r="Q52">
        <v>118.238</v>
      </c>
      <c r="R52">
        <v>1</v>
      </c>
      <c r="S52">
        <v>1</v>
      </c>
      <c r="T52">
        <v>4</v>
      </c>
      <c r="U52">
        <v>27.4</v>
      </c>
      <c r="V52">
        <v>1</v>
      </c>
      <c r="W52">
        <v>3.3</v>
      </c>
    </row>
    <row r="53" spans="1:23">
      <c r="A53">
        <v>266.66666666666669</v>
      </c>
      <c r="B53">
        <v>50</v>
      </c>
      <c r="C53">
        <v>200</v>
      </c>
      <c r="D53">
        <v>7</v>
      </c>
      <c r="E53">
        <v>25</v>
      </c>
      <c r="F53">
        <v>32.6</v>
      </c>
      <c r="G53">
        <v>1</v>
      </c>
      <c r="H53">
        <v>1</v>
      </c>
      <c r="I53">
        <v>1</v>
      </c>
      <c r="J53">
        <v>-0.48099999999999998</v>
      </c>
      <c r="K53">
        <v>32.042000000000002</v>
      </c>
      <c r="L53">
        <v>1</v>
      </c>
      <c r="M53">
        <v>1</v>
      </c>
      <c r="N53">
        <v>0</v>
      </c>
      <c r="O53">
        <v>2</v>
      </c>
      <c r="P53">
        <v>20.2</v>
      </c>
      <c r="Q53">
        <v>116.066</v>
      </c>
      <c r="R53">
        <v>1</v>
      </c>
      <c r="S53">
        <v>1</v>
      </c>
      <c r="T53">
        <v>0</v>
      </c>
      <c r="U53">
        <v>46.1</v>
      </c>
      <c r="V53">
        <v>1</v>
      </c>
      <c r="W53">
        <v>2.7</v>
      </c>
    </row>
    <row r="54" spans="1:23">
      <c r="A54">
        <v>132.5</v>
      </c>
      <c r="B54">
        <v>25</v>
      </c>
      <c r="C54">
        <v>400</v>
      </c>
      <c r="D54">
        <v>7</v>
      </c>
      <c r="E54">
        <v>0</v>
      </c>
      <c r="F54">
        <v>32.6</v>
      </c>
      <c r="G54">
        <v>1</v>
      </c>
      <c r="H54">
        <v>1</v>
      </c>
      <c r="I54">
        <v>1</v>
      </c>
      <c r="J54">
        <v>-0.48099999999999998</v>
      </c>
      <c r="K54">
        <v>32.042000000000002</v>
      </c>
      <c r="L54">
        <v>1</v>
      </c>
      <c r="M54">
        <v>1</v>
      </c>
      <c r="N54">
        <v>0</v>
      </c>
      <c r="O54">
        <v>2</v>
      </c>
      <c r="P54">
        <v>20.2</v>
      </c>
      <c r="Q54">
        <v>118.238</v>
      </c>
      <c r="R54">
        <v>1</v>
      </c>
      <c r="S54">
        <v>1</v>
      </c>
      <c r="T54">
        <v>4</v>
      </c>
      <c r="U54">
        <v>27.4</v>
      </c>
      <c r="V54">
        <v>1</v>
      </c>
      <c r="W54">
        <v>3.3</v>
      </c>
    </row>
    <row r="55" spans="1:23">
      <c r="A55">
        <v>84</v>
      </c>
      <c r="B55">
        <v>42</v>
      </c>
      <c r="C55">
        <v>140</v>
      </c>
      <c r="D55">
        <v>7</v>
      </c>
      <c r="E55">
        <v>25</v>
      </c>
      <c r="F55">
        <v>8.93</v>
      </c>
      <c r="G55">
        <v>1</v>
      </c>
      <c r="H55">
        <v>1</v>
      </c>
      <c r="I55">
        <v>0</v>
      </c>
      <c r="J55">
        <v>-0.48099999999999998</v>
      </c>
      <c r="K55">
        <v>84.927000000000007</v>
      </c>
      <c r="L55">
        <v>0</v>
      </c>
      <c r="M55">
        <v>0</v>
      </c>
      <c r="N55">
        <v>0</v>
      </c>
      <c r="O55">
        <v>2.8</v>
      </c>
      <c r="P55">
        <v>0</v>
      </c>
      <c r="Q55">
        <v>110.17400000000001</v>
      </c>
      <c r="R55">
        <v>1</v>
      </c>
      <c r="S55">
        <v>1</v>
      </c>
      <c r="T55">
        <v>0</v>
      </c>
      <c r="U55">
        <v>46.1</v>
      </c>
      <c r="V55">
        <v>1</v>
      </c>
      <c r="W55">
        <v>2.5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original</vt:lpstr>
      <vt:lpstr>jiali</vt:lpstr>
      <vt:lpstr>Selectors</vt:lpstr>
      <vt:lpstr>Master</vt:lpstr>
      <vt:lpstr>Master (2)</vt:lpstr>
      <vt:lpstr>Discrete data</vt:lpstr>
      <vt:lpstr>df</vt:lpstr>
      <vt:lpstr>features_c</vt:lpstr>
      <vt:lpstr>features_d</vt:lpstr>
      <vt:lpstr>labels</vt:lpstr>
      <vt:lpstr>features_c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2018-08-12T02:30:25Z</dcterms:modified>
</cp:coreProperties>
</file>